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Booking Timeline" sheetId="2" state="visible" r:id="rId2"/>
    <sheet xmlns:r="http://schemas.openxmlformats.org/officeDocument/2006/relationships" name="3. v1 Daily Itinerary" sheetId="3" state="visible" r:id="rId3"/>
    <sheet xmlns:r="http://schemas.openxmlformats.org/officeDocument/2006/relationships" name="4. v2 Relaxed Pace" sheetId="4" state="visible" r:id="rId4"/>
    <sheet xmlns:r="http://schemas.openxmlformats.org/officeDocument/2006/relationships" name="5. v3 Bad Weather Plan B" sheetId="5" state="visible" r:id="rId5"/>
    <sheet xmlns:r="http://schemas.openxmlformats.org/officeDocument/2006/relationships" name="6. v1 vs v2 Compare" sheetId="6" state="visible" r:id="rId6"/>
    <sheet xmlns:r="http://schemas.openxmlformats.org/officeDocument/2006/relationships" name="7. Accommodation" sheetId="7" state="visible" r:id="rId7"/>
    <sheet xmlns:r="http://schemas.openxmlformats.org/officeDocument/2006/relationships" name="8. Food, Spas, Nightlife" sheetId="8" state="visible" r:id="rId8"/>
    <sheet xmlns:r="http://schemas.openxmlformats.org/officeDocument/2006/relationships" name="9. Hidden Gems &amp; Swaps" sheetId="9" state="visible" r:id="rId9"/>
    <sheet xmlns:r="http://schemas.openxmlformats.org/officeDocument/2006/relationships" name="10. Activity Pricing" sheetId="10" state="visible" r:id="rId10"/>
    <sheet xmlns:r="http://schemas.openxmlformats.org/officeDocument/2006/relationships" name="11. Distance Matrix" sheetId="11" state="visible" r:id="rId11"/>
    <sheet xmlns:r="http://schemas.openxmlformats.org/officeDocument/2006/relationships" name="12. Budget" sheetId="12" state="visible" r:id="rId12"/>
    <sheet xmlns:r="http://schemas.openxmlformats.org/officeDocument/2006/relationships" name="13. Practical Info" sheetId="13" state="visible" r:id="rId13"/>
    <sheet xmlns:r="http://schemas.openxmlformats.org/officeDocument/2006/relationships" name="14. Pre-Departure Checkli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;[Red]0.0;&quot;-&quot;"/>
    <numFmt numFmtId="165" formatCode="0;[Red]0;&quot;-&quot;"/>
    <numFmt numFmtId="166" formatCode="#,##0;[Red](#,##0);&quot;FREE&quot;"/>
    <numFmt numFmtId="167" formatCode="&quot;S$&quot;#,##0;[Red](&quot;S$&quot;#,##0);&quot;-&quot;"/>
    <numFmt numFmtId="168" formatCode="#,##0;[Red](#,##0);&quot;-&quot;"/>
    <numFmt numFmtId="169" formatCode="&quot;S$&quot;#,##0"/>
    <numFmt numFmtId="170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</font>
    <font>
      <name val="Arial"/>
      <b val="1"/>
      <i val="1"/>
      <sz val="10"/>
    </font>
    <font>
      <name val="Arial"/>
      <b val="1"/>
      <color rgb="000000FF"/>
    </font>
    <font>
      <name val="Arial"/>
      <i val="1"/>
      <color rgb="00666666"/>
    </font>
    <font>
      <name val="Arial"/>
      <color rgb="000000FF"/>
    </font>
    <font>
      <name val="Arial"/>
      <b val="1"/>
      <color rgb="00FFFFFF"/>
    </font>
    <font>
      <name val="Arial"/>
      <i val="1"/>
      <sz val="10"/>
    </font>
  </fonts>
  <fills count="1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548235"/>
      </patternFill>
    </fill>
    <fill>
      <patternFill patternType="solid">
        <fgColor rgb="00305496"/>
      </patternFill>
    </fill>
    <fill>
      <patternFill patternType="solid">
        <fgColor rgb="00C65911"/>
      </patternFill>
    </fill>
    <fill>
      <patternFill patternType="solid">
        <fgColor rgb="00595959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vertical="center" wrapText="1" indent="1"/>
    </xf>
    <xf numFmtId="0" fontId="3" fillId="0" borderId="1" applyAlignment="1" pivotButton="0" quotePrefix="0" xfId="0">
      <alignment vertical="top" wrapText="1"/>
    </xf>
    <xf numFmtId="0" fontId="1" fillId="4" borderId="0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vertical="center" wrapText="1" indent="1"/>
    </xf>
    <xf numFmtId="0" fontId="4" fillId="6" borderId="0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167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 indent="1"/>
    </xf>
    <xf numFmtId="164" fontId="2" fillId="8" borderId="1" applyAlignment="1" pivotButton="0" quotePrefix="0" xfId="0">
      <alignment horizontal="center" vertical="center" wrapText="1"/>
    </xf>
    <xf numFmtId="165" fontId="2" fillId="8" borderId="1" applyAlignment="1" pivotButton="0" quotePrefix="0" xfId="0">
      <alignment horizontal="center" vertical="center" wrapText="1"/>
    </xf>
    <xf numFmtId="168" fontId="2" fillId="8" borderId="1" applyAlignment="1" pivotButton="0" quotePrefix="0" xfId="0">
      <alignment horizontal="center" vertical="center" wrapText="1"/>
    </xf>
    <xf numFmtId="167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left" vertical="center" wrapText="1" indent="1"/>
    </xf>
    <xf numFmtId="0" fontId="5" fillId="6" borderId="0" applyAlignment="1" pivotButton="0" quotePrefix="0" xfId="0">
      <alignment horizontal="left" vertical="center" wrapText="1" indent="1"/>
    </xf>
    <xf numFmtId="0" fontId="1" fillId="12" borderId="0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vertical="top" wrapText="1"/>
    </xf>
    <xf numFmtId="0" fontId="4" fillId="12" borderId="0" applyAlignment="1" pivotButton="0" quotePrefix="0" xfId="0">
      <alignment horizontal="left" vertical="center" wrapText="1" indent="1"/>
    </xf>
    <xf numFmtId="0" fontId="4" fillId="13" borderId="0" applyAlignment="1" pivotButton="0" quotePrefix="0" xfId="0">
      <alignment horizontal="left" vertical="center" wrapText="1" indent="1"/>
    </xf>
    <xf numFmtId="168" fontId="3" fillId="3" borderId="1" applyAlignment="1" pivotButton="0" quotePrefix="0" xfId="0">
      <alignment vertical="top" wrapText="1"/>
    </xf>
    <xf numFmtId="168" fontId="3" fillId="0" borderId="1" applyAlignment="1" pivotButton="0" quotePrefix="0" xfId="0">
      <alignment vertical="top" wrapText="1"/>
    </xf>
    <xf numFmtId="166" fontId="3" fillId="3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9" fontId="3" fillId="3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 indent="1"/>
    </xf>
    <xf numFmtId="0" fontId="4" fillId="9" borderId="0" applyAlignment="1" pivotButton="0" quotePrefix="0" xfId="0">
      <alignment horizontal="left" vertical="center" wrapText="1" indent="1"/>
    </xf>
    <xf numFmtId="0" fontId="1" fillId="11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left" vertical="center" wrapText="1" indent="1"/>
    </xf>
    <xf numFmtId="0" fontId="4" fillId="11" borderId="0" applyAlignment="1" pivotButton="0" quotePrefix="0" xfId="0">
      <alignment horizontal="left" vertical="center" wrapText="1" indent="1"/>
    </xf>
    <xf numFmtId="0" fontId="1" fillId="9" borderId="0" applyAlignment="1" pivotButton="0" quotePrefix="0" xfId="0">
      <alignment horizontal="left" vertical="center" wrapText="1" inden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" fillId="10" borderId="0" applyAlignment="1" pivotButton="0" quotePrefix="0" xfId="0">
      <alignment horizontal="left" vertical="center" wrapText="1" indent="1"/>
    </xf>
    <xf numFmtId="170" fontId="3" fillId="3" borderId="1" applyAlignment="1" pivotButton="0" quotePrefix="0" xfId="0">
      <alignment horizontal="center" vertical="center" wrapText="1"/>
    </xf>
    <xf numFmtId="1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170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 wrapText="1" indent="1"/>
    </xf>
    <xf numFmtId="0" fontId="6" fillId="0" borderId="0" pivotButton="0" quotePrefix="0" xfId="0"/>
    <xf numFmtId="3" fontId="8" fillId="5" borderId="1" pivotButton="0" quotePrefix="0" xfId="0"/>
    <xf numFmtId="0" fontId="9" fillId="0" borderId="0" pivotButton="0" quotePrefix="0" xfId="0"/>
    <xf numFmtId="0" fontId="3" fillId="0" borderId="1" pivotButton="0" quotePrefix="0" xfId="0"/>
    <xf numFmtId="3" fontId="10" fillId="0" borderId="1" pivotButton="0" quotePrefix="0" xfId="0"/>
    <xf numFmtId="169" fontId="0" fillId="0" borderId="1" pivotButton="0" quotePrefix="0" xfId="0"/>
    <xf numFmtId="0" fontId="2" fillId="8" borderId="1" pivotButton="0" quotePrefix="0" xfId="0"/>
    <xf numFmtId="3" fontId="2" fillId="8" borderId="1" pivotButton="0" quotePrefix="0" xfId="0"/>
    <xf numFmtId="169" fontId="2" fillId="8" borderId="1" pivotButton="0" quotePrefix="0" xfId="0"/>
    <xf numFmtId="169" fontId="3" fillId="0" borderId="1" pivotButton="0" quotePrefix="0" xfId="0"/>
    <xf numFmtId="0" fontId="4" fillId="2" borderId="1" pivotButton="0" quotePrefix="0" xfId="0"/>
    <xf numFmtId="169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24" customHeight="1">
      <c r="A1" s="1" t="inlineStr">
        <is>
          <t>Manila Trip Overview — 2026-05-28 → 2026-06-01</t>
        </is>
      </c>
    </row>
    <row r="3" ht="24" customHeight="1">
      <c r="A3" s="2" t="inlineStr">
        <is>
          <t>Trip dates</t>
        </is>
      </c>
      <c r="B3" s="3" t="inlineStr">
        <is>
          <t>2026-05-28 → 2026-06-01</t>
        </is>
      </c>
    </row>
    <row r="4" ht="24" customHeight="1">
      <c r="A4" s="2" t="inlineStr">
        <is>
          <t>Nights / Days</t>
        </is>
      </c>
      <c r="B4" s="3" t="inlineStr">
        <is>
          <t>4 nights</t>
        </is>
      </c>
    </row>
    <row r="5" ht="24" customHeight="1">
      <c r="A5" s="2" t="inlineStr">
        <is>
          <t>Origin</t>
        </is>
      </c>
      <c r="B5" s="3" t="inlineStr">
        <is>
          <t>Domestic / Provincial Philippines — Philippine Airlines / Cebu Pacific (domestic)</t>
        </is>
      </c>
    </row>
    <row r="6" ht="24" customHeight="1">
      <c r="A6" s="2" t="inlineStr">
        <is>
          <t>Destination</t>
        </is>
      </c>
      <c r="B6" s="3" t="inlineStr">
        <is>
          <t>Manila</t>
        </is>
      </c>
    </row>
    <row r="7" ht="24" customHeight="1">
      <c r="A7" s="2" t="inlineStr">
        <is>
          <t>Outbound flight</t>
        </is>
      </c>
      <c r="B7" s="3" t="inlineStr">
        <is>
          <t>Thu 28 May — arrival NAIA (domestic terminal)</t>
        </is>
      </c>
    </row>
    <row r="8" ht="24" customHeight="1">
      <c r="A8" s="2" t="inlineStr">
        <is>
          <t>Return flight</t>
        </is>
      </c>
      <c r="B8" s="3" t="inlineStr">
        <is>
          <t>Mon 01 Jun — depart NAIA</t>
        </is>
      </c>
    </row>
    <row r="9" ht="24" customHeight="1">
      <c r="A9" s="2" t="inlineStr">
        <is>
          <t>Passport</t>
        </is>
      </c>
      <c r="B9" s="3" t="inlineStr">
        <is>
          <t>Philippines</t>
        </is>
      </c>
    </row>
    <row r="10" ht="24" customHeight="1">
      <c r="A10" s="2" t="inlineStr">
        <is>
          <t>Visa</t>
        </is>
      </c>
      <c r="B10" s="3" t="inlineStr">
        <is>
          <t>Domestic travel — no visa. PH passport / any valid government-issued photo ID required for domestic flights.</t>
        </is>
      </c>
    </row>
    <row r="11" ht="24" customHeight="1">
      <c r="A11" s="2" t="inlineStr">
        <is>
          <t>Base hotel</t>
        </is>
      </c>
      <c r="B11" s="3" t="inlineStr">
        <is>
          <t>Makati CBD (Ayala / Poblacion side)</t>
        </is>
      </c>
    </row>
    <row r="12" ht="24" customHeight="1">
      <c r="A12" s="2" t="inlineStr">
        <is>
          <t>Travelers</t>
        </is>
      </c>
      <c r="B12" s="3" t="inlineStr">
        <is>
          <t>1 pax</t>
        </is>
      </c>
    </row>
    <row r="13" ht="24" customHeight="1">
      <c r="A13" s="2" t="inlineStr">
        <is>
          <t>Currency</t>
        </is>
      </c>
      <c r="B13" s="3" t="inlineStr">
        <is>
          <t>PHP ~43 per 1 SGD</t>
        </is>
      </c>
    </row>
    <row r="14" ht="24" customHeight="1">
      <c r="A14" s="2" t="inlineStr">
        <is>
          <t>Climate</t>
        </is>
      </c>
      <c r="B14" s="3" t="inlineStr">
        <is>
          <t>Hot late dry → habagat onset, 28-34°C, humidity 75-90%, afternoon thunderstorms possible by end May/early Jun</t>
        </is>
      </c>
    </row>
    <row r="15" ht="24" customHeight="1">
      <c r="A15" s="2" t="inlineStr">
        <is>
          <t>Power</t>
        </is>
      </c>
      <c r="B15" s="3" t="inlineStr">
        <is>
          <t>Type A/B/C (220V/60Hz). US 2-pin (Type A) fits — SG/UK Type G plugs DO NOT fit (need adaptor).</t>
        </is>
      </c>
    </row>
    <row r="16" ht="24" customHeight="1">
      <c r="A16" s="2" t="inlineStr">
        <is>
          <t>Tap water</t>
        </is>
      </c>
      <c r="B16" s="3" t="inlineStr">
        <is>
          <t>NOT potable. Bottled only — even at most hotels. Boil if cooking.</t>
        </is>
      </c>
    </row>
    <row r="17" ht="24" customHeight="1">
      <c r="A17" s="2" t="inlineStr">
        <is>
          <t>Tipping</t>
        </is>
      </c>
      <c r="B17" s="3" t="inlineStr">
        <is>
          <t>Service charge 10% often auto-added; if not, leave 5-10% for sit-down. Grab driver round up. Spa ₱50-100.</t>
        </is>
      </c>
    </row>
    <row r="18" ht="24" customHeight="1">
      <c r="A18" s="2" t="inlineStr">
        <is>
          <t>Emergency</t>
        </is>
      </c>
      <c r="B18" s="3" t="inlineStr">
        <is>
          <t>Police/Fire/Ambulance 911 (national) · NAIA Tourist Police: +63 2 8551 9888</t>
        </is>
      </c>
    </row>
    <row r="20" ht="24" customHeight="1">
      <c r="A20" s="4" t="inlineStr">
        <is>
          <t>⚠️ Risk Flags &amp; Mitigations</t>
        </is>
      </c>
    </row>
    <row r="22" ht="28" customHeight="1">
      <c r="A22" s="5" t="inlineStr">
        <is>
          <t>Habagat onset</t>
        </is>
      </c>
      <c r="B22" s="3" t="inlineStr">
        <is>
          <t>Late May / early Jun = start of SW monsoon. Afternoon thunderstorms 30-40% days. Pack rain shell + dry-bag for electronics.</t>
        </is>
      </c>
    </row>
    <row r="23" ht="28" customHeight="1">
      <c r="A23" s="5" t="inlineStr">
        <is>
          <t>NAIA traffic</t>
        </is>
      </c>
      <c r="B23" s="3" t="inlineStr">
        <is>
          <t>EDSA + Skyway worst 16:30-20:00 Mon-Fri. Allow 60-75min Makati→NAIA Mon 01 Jun PM departure.</t>
        </is>
      </c>
    </row>
    <row r="24" ht="28" customHeight="1">
      <c r="A24" s="5" t="inlineStr">
        <is>
          <t>Tagaytay traffic Sat</t>
        </is>
      </c>
      <c r="B24" s="3" t="inlineStr">
        <is>
          <t>Tagaytay weekend traffic adds 30-60min each way. Leave Makati by 07:00 OR delay to Mon (skip flight day).</t>
        </is>
      </c>
    </row>
    <row r="25" ht="28" customHeight="1">
      <c r="A25" s="5" t="inlineStr">
        <is>
          <t>Quiapo pickpockets</t>
        </is>
      </c>
      <c r="B25" s="3" t="inlineStr">
        <is>
          <t>Plaza Miranda crowded — wear money belt, no flashy phone, leave passport at hotel.</t>
        </is>
      </c>
    </row>
    <row r="26" ht="28" customHeight="1">
      <c r="A26" s="5" t="inlineStr">
        <is>
          <t>Day 2 fatigue (v1)</t>
        </is>
      </c>
      <c r="B26" s="3" t="inlineStr">
        <is>
          <t>Binondo food crawl + Quiapo + Escolta + Poblacion crawl = high; v2 cuts Quiapo + crawl optional.</t>
        </is>
      </c>
    </row>
    <row r="27" ht="28" customHeight="1">
      <c r="A27" s="5" t="inlineStr">
        <is>
          <t>Pinatubo flood risk</t>
        </is>
      </c>
      <c r="B27" s="3" t="inlineStr">
        <is>
          <t>Early-season tropical depressions possible; monitor PAGASA for LPA 1 week pre-trip.</t>
        </is>
      </c>
    </row>
    <row r="28" ht="28" customHeight="1">
      <c r="A28" s="5" t="inlineStr">
        <is>
          <t>Taal volcano alert</t>
        </is>
      </c>
      <c r="B28" s="3" t="inlineStr">
        <is>
          <t>Day-trip to Tagaytay rim viewpoint OK at Alert Level 1-2; crater boat ride NOT allowed &gt;Level 2. Check PHIVOLCS.</t>
        </is>
      </c>
    </row>
    <row r="29" ht="28" customHeight="1">
      <c r="A29" s="5" t="inlineStr">
        <is>
          <t>NAIA terminal mix-up</t>
        </is>
      </c>
      <c r="B29" s="3" t="inlineStr">
        <is>
          <t>PH airlines split T2/T3/T4. PAL=T2, Cebu Pacific=T3 (intl/domestic mixed). Confirm terminal on booking — wrong terminal = miss flight.</t>
        </is>
      </c>
    </row>
    <row r="30" ht="28" customHeight="1">
      <c r="A30" s="5" t="inlineStr">
        <is>
          <t>Currency cash</t>
        </is>
      </c>
      <c r="B30" s="3" t="inlineStr">
        <is>
          <t>Many small eateries + jeepneys cash-only. GCash accepted in Makati/BGC but spotty in Binondo/Quiapo. Carry ₱2-3k cash daily.</t>
        </is>
      </c>
    </row>
    <row r="31" ht="28" customHeight="1">
      <c r="A31" s="5" t="inlineStr">
        <is>
          <t>Pollution/heat</t>
        </is>
      </c>
      <c r="B31" s="3" t="inlineStr">
        <is>
          <t>Heat index can hit 42°C midday late May. Indoor break 12:00-15:00; hydrate.</t>
        </is>
      </c>
    </row>
    <row r="33" ht="24" customHeight="1">
      <c r="A33" s="6" t="inlineStr">
        <is>
          <t>📌 Three itinerary variants — adjacent tabs: Sheet 3 (v1 standard) · Sheet 4 (v2 relaxed) · Sheet 5 (v3 bad-weather) · Sheet 6 (v1 vs v2 compare)</t>
        </is>
      </c>
    </row>
  </sheetData>
  <mergeCells count="29">
    <mergeCell ref="B11:D11"/>
    <mergeCell ref="B14:D14"/>
    <mergeCell ref="B23:D23"/>
    <mergeCell ref="B8:D8"/>
    <mergeCell ref="A20:D20"/>
    <mergeCell ref="B17:D17"/>
    <mergeCell ref="B13:D13"/>
    <mergeCell ref="B29:D29"/>
    <mergeCell ref="B10:D10"/>
    <mergeCell ref="B28:D28"/>
    <mergeCell ref="B9:D9"/>
    <mergeCell ref="B30:D30"/>
    <mergeCell ref="B15:D15"/>
    <mergeCell ref="B6:D6"/>
    <mergeCell ref="B24:D24"/>
    <mergeCell ref="A1:D1"/>
    <mergeCell ref="B5:D5"/>
    <mergeCell ref="B4:D4"/>
    <mergeCell ref="B26:D26"/>
    <mergeCell ref="B7:D7"/>
    <mergeCell ref="B25:D25"/>
    <mergeCell ref="B16:D16"/>
    <mergeCell ref="B3:D3"/>
    <mergeCell ref="B31:D31"/>
    <mergeCell ref="B22:D22"/>
    <mergeCell ref="B18:D18"/>
    <mergeCell ref="B27:D27"/>
    <mergeCell ref="A33:D3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  <col width="44" customWidth="1" min="4" max="4"/>
  </cols>
  <sheetData>
    <row r="1" ht="24" customHeight="1">
      <c r="A1" s="1" t="inlineStr">
        <is>
          <t>📅 Booking Strategy Timeline (relative to 2026-05-28)</t>
        </is>
      </c>
    </row>
    <row r="3">
      <c r="A3" s="7" t="inlineStr">
        <is>
          <t>Window</t>
        </is>
      </c>
      <c r="B3" s="7" t="inlineStr">
        <is>
          <t>Lead time</t>
        </is>
      </c>
      <c r="C3" s="7" t="inlineStr">
        <is>
          <t>Action</t>
        </is>
      </c>
      <c r="D3" s="7" t="inlineStr">
        <is>
          <t>Why</t>
        </is>
      </c>
    </row>
    <row r="4" ht="30" customHeight="1">
      <c r="A4" s="8" t="inlineStr">
        <is>
          <t>Now → Feb 2026</t>
        </is>
      </c>
      <c r="B4" s="8" t="inlineStr">
        <is>
          <t>T-3 to T-5 mo</t>
        </is>
      </c>
      <c r="C4" s="8" t="inlineStr">
        <is>
          <t>Track domestic fare via Cebu Pacific / PAL apps; set price alerts</t>
        </is>
      </c>
      <c r="D4" s="8" t="inlineStr">
        <is>
          <t>Domestic fare swings ±50%; promos around payday Fridays</t>
        </is>
      </c>
    </row>
    <row r="5" ht="30" customHeight="1">
      <c r="A5" s="3" t="inlineStr">
        <is>
          <t>Feb 2026</t>
        </is>
      </c>
      <c r="B5" s="3" t="inlineStr">
        <is>
          <t>T-3 mo</t>
        </is>
      </c>
      <c r="C5" s="3" t="inlineStr">
        <is>
          <t>Book Cebu Pacific / PAL return; target Tue/Wed flights</t>
        </is>
      </c>
      <c r="D5" s="3" t="inlineStr">
        <is>
          <t>Mid-week cheaper; avoid Friday return = NAIA chaos</t>
        </is>
      </c>
    </row>
    <row r="6" ht="30" customHeight="1">
      <c r="A6" s="8" t="inlineStr">
        <is>
          <t>Mar 2026</t>
        </is>
      </c>
      <c r="B6" s="8" t="inlineStr">
        <is>
          <t>T-2 mo</t>
        </is>
      </c>
      <c r="C6" s="8" t="inlineStr">
        <is>
          <t>Book hotel on Agoda/Booking with FREE CANCELLATION (Makati CBD)</t>
        </is>
      </c>
      <c r="D6" s="8" t="inlineStr">
        <is>
          <t>Lock rate; pivot if flash sale or pivot to BGC</t>
        </is>
      </c>
    </row>
    <row r="7" ht="30" customHeight="1">
      <c r="A7" s="3" t="inlineStr">
        <is>
          <t>Apr 2026</t>
        </is>
      </c>
      <c r="B7" s="3" t="inlineStr">
        <is>
          <t>T-1 mo</t>
        </is>
      </c>
      <c r="C7" s="3" t="inlineStr">
        <is>
          <t>Pre-book Tagaytay private car / Klook tour; book Toyo Eatery 2 weeks ahead</t>
        </is>
      </c>
      <c r="D7" s="3" t="inlineStr">
        <is>
          <t>Tagaytay weekend slots fill; Toyo books out</t>
        </is>
      </c>
    </row>
    <row r="8" ht="30" customHeight="1">
      <c r="A8" s="8" t="inlineStr">
        <is>
          <t>Early May 2026</t>
        </is>
      </c>
      <c r="B8" s="8" t="inlineStr">
        <is>
          <t>T-3 wk</t>
        </is>
      </c>
      <c r="C8" s="8" t="inlineStr">
        <is>
          <t>Book Corregidor (Sun Cruises) if pivoting from Tagaytay</t>
        </is>
      </c>
      <c r="D8" s="8" t="inlineStr">
        <is>
          <t>Sun Cruises only ferry — limited Sat slots</t>
        </is>
      </c>
    </row>
    <row r="9" ht="30" customHeight="1">
      <c r="A9" s="3" t="inlineStr">
        <is>
          <t>2 weeks before</t>
        </is>
      </c>
      <c r="B9" s="3" t="inlineStr">
        <is>
          <t>T-2 wk</t>
        </is>
      </c>
      <c r="C9" s="3" t="inlineStr">
        <is>
          <t>Reconfirm Toyo Eatery + Old Manila Walks Binondo crawl</t>
        </is>
      </c>
      <c r="D9" s="3" t="inlineStr">
        <is>
          <t>Both small operators with limited covers</t>
        </is>
      </c>
    </row>
    <row r="10" ht="30" customHeight="1">
      <c r="A10" s="8" t="inlineStr">
        <is>
          <t>1 week before</t>
        </is>
      </c>
      <c r="B10" s="8" t="inlineStr">
        <is>
          <t>T-7 d</t>
        </is>
      </c>
      <c r="C10" s="8" t="inlineStr">
        <is>
          <t>WhatsApp The Spa BGC / Nuat Thai for Sat/Sun reservation</t>
        </is>
      </c>
      <c r="D10" s="8" t="inlineStr">
        <is>
          <t>Weekend spa slots fill</t>
        </is>
      </c>
    </row>
    <row r="11" ht="30" customHeight="1">
      <c r="A11" s="3" t="inlineStr">
        <is>
          <t>3 days before</t>
        </is>
      </c>
      <c r="B11" s="3" t="inlineStr">
        <is>
          <t>T-3 d</t>
        </is>
      </c>
      <c r="C11" s="3" t="inlineStr">
        <is>
          <t>Web check-in opens — confirm seats; verify terminal (T2/T3)</t>
        </is>
      </c>
      <c r="D11" s="3" t="inlineStr">
        <is>
          <t>Avoid airport counter queue + terminal mix-up</t>
        </is>
      </c>
    </row>
    <row r="12" ht="30" customHeight="1">
      <c r="A12" s="8" t="inlineStr">
        <is>
          <t>Day before</t>
        </is>
      </c>
      <c r="B12" s="8" t="inlineStr">
        <is>
          <t>T-1 d</t>
        </is>
      </c>
      <c r="C12" s="8" t="inlineStr">
        <is>
          <t>Screenshot all vouchers offline; charge devices; download PAGASA app</t>
        </is>
      </c>
      <c r="D12" s="8" t="inlineStr">
        <is>
          <t>Mobile data patchy at NAIA arrival</t>
        </is>
      </c>
    </row>
    <row r="13" ht="30" customHeight="1">
      <c r="A13" s="3" t="inlineStr">
        <is>
          <t>Day of</t>
        </is>
      </c>
      <c r="B13" s="3" t="inlineStr">
        <is>
          <t>T-0</t>
        </is>
      </c>
      <c r="C13" s="3" t="inlineStr">
        <is>
          <t>Domestic: arrive NAIA T-1.5hr; check terminal once more</t>
        </is>
      </c>
      <c r="D13" s="3" t="inlineStr">
        <is>
          <t>Domestic shorter buffer but terminal errors common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22" customWidth="1" min="3" max="3"/>
    <col width="9" customWidth="1" min="4" max="4"/>
    <col width="10" customWidth="1" min="5" max="5"/>
    <col width="13" customWidth="1" min="6" max="6"/>
    <col width="12" customWidth="1" min="7" max="7"/>
    <col width="38" customWidth="1" min="8" max="8"/>
    <col width="5" customWidth="1" min="9" max="9"/>
  </cols>
  <sheetData>
    <row r="1" ht="24" customHeight="1">
      <c r="A1" s="1" t="inlineStr">
        <is>
          <t>🗺️ v1 Standard Pace Itinerary</t>
        </is>
      </c>
    </row>
    <row r="3" ht="22" customHeight="1">
      <c r="A3" s="9" t="inlineStr">
        <is>
          <t>Day 1 — Thu 28 May: Arrival + Intramuros + Bay Sunset</t>
        </is>
      </c>
    </row>
    <row r="4">
      <c r="A4" s="7" t="inlineStr">
        <is>
          <t>Time</t>
        </is>
      </c>
      <c r="B4" s="7" t="inlineStr">
        <is>
          <t>Activity</t>
        </is>
      </c>
      <c r="C4" s="7" t="inlineStr">
        <is>
          <t>From -&gt; To</t>
        </is>
      </c>
      <c r="D4" s="7" t="inlineStr">
        <is>
          <t>Dist (km)</t>
        </is>
      </c>
      <c r="E4" s="7" t="inlineStr">
        <is>
          <t>Travel (min)</t>
        </is>
      </c>
      <c r="F4" s="7" t="inlineStr">
        <is>
          <t>Cost (local)</t>
        </is>
      </c>
      <c r="G4" s="7" t="inlineStr">
        <is>
          <t>Cost (SGD)</t>
        </is>
      </c>
      <c r="H4" s="7" t="inlineStr">
        <is>
          <t>Notes</t>
        </is>
      </c>
      <c r="I4" s="7" t="inlineStr">
        <is>
          <t>✓</t>
        </is>
      </c>
    </row>
    <row r="5" ht="26" customHeight="1">
      <c r="A5" s="10" t="inlineStr">
        <is>
          <t>AM</t>
        </is>
      </c>
      <c r="B5" s="8" t="inlineStr">
        <is>
          <t>Arrive NAIA (domestic terminal — T2/T3/T4 depending on carrier)</t>
        </is>
      </c>
      <c r="C5" s="8" t="inlineStr">
        <is>
          <t>NAIA arrival</t>
        </is>
      </c>
      <c r="D5" s="11" t="n"/>
      <c r="E5" s="12" t="n"/>
      <c r="F5" s="13" t="n">
        <v>0</v>
      </c>
      <c r="G5" s="14" t="n"/>
      <c r="H5" s="8" t="inlineStr">
        <is>
          <t>Domestic — show valid government ID</t>
        </is>
      </c>
      <c r="I5" s="10" t="inlineStr">
        <is>
          <t>☐</t>
        </is>
      </c>
    </row>
    <row r="6" ht="26" customHeight="1">
      <c r="A6" s="15" t="inlineStr">
        <is>
          <t>+45m</t>
        </is>
      </c>
      <c r="B6" s="3" t="inlineStr">
        <is>
          <t>Grab to Makati hotel; check in or store bags</t>
        </is>
      </c>
      <c r="C6" s="3" t="inlineStr">
        <is>
          <t>NAIA → Makati</t>
        </is>
      </c>
      <c r="D6" s="16" t="n">
        <v>8.5</v>
      </c>
      <c r="E6" s="17" t="n">
        <v>35</v>
      </c>
      <c r="F6" s="18" t="n">
        <v>350</v>
      </c>
      <c r="G6" s="19" t="n"/>
      <c r="H6" s="3" t="inlineStr">
        <is>
          <t>EDSA traffic — allow 30-50min</t>
        </is>
      </c>
      <c r="I6" s="15" t="inlineStr">
        <is>
          <t>☐</t>
        </is>
      </c>
    </row>
    <row r="7" ht="26" customHeight="1">
      <c r="A7" s="10" t="inlineStr">
        <is>
          <t>11:30</t>
        </is>
      </c>
      <c r="B7" s="8" t="inlineStr">
        <is>
          <t>Light lunch near hotel (Manam Greenbelt or Mesa)</t>
        </is>
      </c>
      <c r="C7" s="8" t="inlineStr">
        <is>
          <t>Walk Ayala/Greenbelt</t>
        </is>
      </c>
      <c r="D7" s="11" t="n">
        <v>0.6</v>
      </c>
      <c r="E7" s="12" t="n">
        <v>8</v>
      </c>
      <c r="F7" s="13" t="n">
        <v>500</v>
      </c>
      <c r="G7" s="14" t="n"/>
      <c r="H7" s="8" t="inlineStr"/>
      <c r="I7" s="10" t="inlineStr">
        <is>
          <t>☐</t>
        </is>
      </c>
    </row>
    <row r="8" ht="26" customHeight="1">
      <c r="A8" s="15" t="inlineStr">
        <is>
          <t>13:00</t>
        </is>
      </c>
      <c r="B8" s="3" t="inlineStr">
        <is>
          <t>Grab to Intramuros — start at Fort Santiago</t>
        </is>
      </c>
      <c r="C8" s="3" t="inlineStr">
        <is>
          <t>Makati → Intramuros</t>
        </is>
      </c>
      <c r="D8" s="16" t="n">
        <v>7.5</v>
      </c>
      <c r="E8" s="17" t="n">
        <v>30</v>
      </c>
      <c r="F8" s="18" t="n">
        <v>280</v>
      </c>
      <c r="G8" s="19" t="n"/>
      <c r="H8" s="3" t="inlineStr">
        <is>
          <t>Entry ₱75</t>
        </is>
      </c>
      <c r="I8" s="15" t="inlineStr">
        <is>
          <t>☐</t>
        </is>
      </c>
    </row>
    <row r="9" ht="26" customHeight="1">
      <c r="A9" s="10" t="inlineStr">
        <is>
          <t>14:00</t>
        </is>
      </c>
      <c r="B9" s="8" t="inlineStr">
        <is>
          <t>Fort Santiago + Rizal Shrine walk</t>
        </is>
      </c>
      <c r="C9" s="8" t="inlineStr">
        <is>
          <t>Within Intramuros</t>
        </is>
      </c>
      <c r="D9" s="11" t="n"/>
      <c r="E9" s="12" t="n">
        <v>60</v>
      </c>
      <c r="F9" s="13" t="n">
        <v>75</v>
      </c>
      <c r="G9" s="14" t="n"/>
      <c r="H9" s="8" t="inlineStr">
        <is>
          <t>Allow 1hr</t>
        </is>
      </c>
      <c r="I9" s="10" t="inlineStr">
        <is>
          <t>☐</t>
        </is>
      </c>
    </row>
    <row r="10" ht="26" customHeight="1">
      <c r="A10" s="15" t="inlineStr">
        <is>
          <t>15:00</t>
        </is>
      </c>
      <c r="B10" s="3" t="inlineStr">
        <is>
          <t>San Agustin Church + Museum</t>
        </is>
      </c>
      <c r="C10" s="3" t="inlineStr">
        <is>
          <t>Walk</t>
        </is>
      </c>
      <c r="D10" s="16" t="n">
        <v>0.4</v>
      </c>
      <c r="E10" s="17" t="n">
        <v>8</v>
      </c>
      <c r="F10" s="18" t="n">
        <v>200</v>
      </c>
      <c r="G10" s="19" t="n"/>
      <c r="H10" s="3" t="inlineStr">
        <is>
          <t>UNESCO; AC inside</t>
        </is>
      </c>
      <c r="I10" s="15" t="inlineStr">
        <is>
          <t>☐</t>
        </is>
      </c>
    </row>
    <row r="11" ht="26" customHeight="1">
      <c r="A11" s="10" t="inlineStr">
        <is>
          <t>16:00</t>
        </is>
      </c>
      <c r="B11" s="8" t="inlineStr">
        <is>
          <t>Casa Manila + Manila Cathedral</t>
        </is>
      </c>
      <c r="C11" s="8" t="inlineStr">
        <is>
          <t>Walk</t>
        </is>
      </c>
      <c r="D11" s="11" t="n">
        <v>0.3</v>
      </c>
      <c r="E11" s="12" t="n">
        <v>6</v>
      </c>
      <c r="F11" s="13" t="n">
        <v>75</v>
      </c>
      <c r="G11" s="14" t="n"/>
      <c r="H11" s="8" t="inlineStr"/>
      <c r="I11" s="10" t="inlineStr">
        <is>
          <t>☐</t>
        </is>
      </c>
    </row>
    <row r="12" ht="26" customHeight="1">
      <c r="A12" s="15" t="inlineStr">
        <is>
          <t>17:15</t>
        </is>
      </c>
      <c r="B12" s="3" t="inlineStr">
        <is>
          <t>Grab to Manila Baywalk</t>
        </is>
      </c>
      <c r="C12" s="3" t="inlineStr">
        <is>
          <t>Intramuros → Baywalk</t>
        </is>
      </c>
      <c r="D12" s="16" t="n">
        <v>2</v>
      </c>
      <c r="E12" s="17" t="n">
        <v>12</v>
      </c>
      <c r="F12" s="18" t="n">
        <v>150</v>
      </c>
      <c r="G12" s="19" t="n"/>
      <c r="H12" s="3" t="inlineStr">
        <is>
          <t>For sunset</t>
        </is>
      </c>
      <c r="I12" s="15" t="inlineStr">
        <is>
          <t>☐</t>
        </is>
      </c>
    </row>
    <row r="13" ht="26" customHeight="1">
      <c r="A13" s="10" t="inlineStr">
        <is>
          <t>17:30</t>
        </is>
      </c>
      <c r="B13" s="8" t="inlineStr">
        <is>
          <t>Manila Bay sunset</t>
        </is>
      </c>
      <c r="C13" s="8" t="inlineStr">
        <is>
          <t>Roxas Blvd walk</t>
        </is>
      </c>
      <c r="D13" s="11" t="n"/>
      <c r="E13" s="12" t="n">
        <v>60</v>
      </c>
      <c r="F13" s="13" t="n">
        <v>0</v>
      </c>
      <c r="G13" s="14" t="n"/>
      <c r="H13" s="8" t="inlineStr">
        <is>
          <t>Free</t>
        </is>
      </c>
      <c r="I13" s="10" t="inlineStr">
        <is>
          <t>☐</t>
        </is>
      </c>
    </row>
    <row r="14" ht="26" customHeight="1">
      <c r="A14" s="15" t="inlineStr">
        <is>
          <t>19:00</t>
        </is>
      </c>
      <c r="B14" s="3" t="inlineStr">
        <is>
          <t>Dinner: Aristocrat Roxas Blvd</t>
        </is>
      </c>
      <c r="C14" s="3" t="inlineStr">
        <is>
          <t>Walk Roxas Blvd</t>
        </is>
      </c>
      <c r="D14" s="16" t="n">
        <v>0.5</v>
      </c>
      <c r="E14" s="17" t="n">
        <v>8</v>
      </c>
      <c r="F14" s="18" t="n">
        <v>600</v>
      </c>
      <c r="G14" s="19" t="n"/>
      <c r="H14" s="3" t="inlineStr">
        <is>
          <t>Chicken BBQ classic</t>
        </is>
      </c>
      <c r="I14" s="15" t="inlineStr">
        <is>
          <t>☐</t>
        </is>
      </c>
    </row>
    <row r="15" ht="26" customHeight="1">
      <c r="A15" s="10" t="inlineStr">
        <is>
          <t>21:00</t>
        </is>
      </c>
      <c r="B15" s="8" t="inlineStr">
        <is>
          <t>Grab back to Makati</t>
        </is>
      </c>
      <c r="C15" s="8" t="inlineStr">
        <is>
          <t>Malate → Makati</t>
        </is>
      </c>
      <c r="D15" s="11" t="n">
        <v>6</v>
      </c>
      <c r="E15" s="12" t="n">
        <v>25</v>
      </c>
      <c r="F15" s="13" t="n">
        <v>280</v>
      </c>
      <c r="G15" s="14" t="n"/>
      <c r="H15" s="8" t="inlineStr"/>
      <c r="I15" s="10" t="inlineStr">
        <is>
          <t>☐</t>
        </is>
      </c>
    </row>
    <row r="16">
      <c r="A16" s="20" t="inlineStr">
        <is>
          <t>Day total</t>
        </is>
      </c>
      <c r="B16" s="20" t="n"/>
      <c r="C16" s="20" t="n"/>
      <c r="D16" s="21">
        <f>SUM(D5:D15)</f>
        <v/>
      </c>
      <c r="E16" s="22">
        <f>SUM(E5:E15)</f>
        <v/>
      </c>
      <c r="F16" s="23">
        <f>SUM(F5:F15)</f>
        <v/>
      </c>
      <c r="G16" s="24">
        <f>SUM(G5:G15)</f>
        <v/>
      </c>
      <c r="H16" s="20" t="n"/>
      <c r="I16" s="25" t="n"/>
    </row>
    <row r="18" ht="22" customHeight="1">
      <c r="A18" s="9" t="inlineStr">
        <is>
          <t>Day 2 — Fri 29 May: Binondo Food Crawl + Quiapo + Escolta</t>
        </is>
      </c>
    </row>
    <row r="19">
      <c r="A19" s="7" t="inlineStr">
        <is>
          <t>Time</t>
        </is>
      </c>
      <c r="B19" s="7" t="inlineStr">
        <is>
          <t>Activity</t>
        </is>
      </c>
      <c r="C19" s="7" t="inlineStr">
        <is>
          <t>From -&gt; To</t>
        </is>
      </c>
      <c r="D19" s="7" t="inlineStr">
        <is>
          <t>Dist (km)</t>
        </is>
      </c>
      <c r="E19" s="7" t="inlineStr">
        <is>
          <t>Travel (min)</t>
        </is>
      </c>
      <c r="F19" s="7" t="inlineStr">
        <is>
          <t>Cost (local)</t>
        </is>
      </c>
      <c r="G19" s="7" t="inlineStr">
        <is>
          <t>Cost (SGD)</t>
        </is>
      </c>
      <c r="H19" s="7" t="inlineStr">
        <is>
          <t>Notes</t>
        </is>
      </c>
      <c r="I19" s="7" t="inlineStr">
        <is>
          <t>✓</t>
        </is>
      </c>
    </row>
    <row r="20" ht="26" customHeight="1">
      <c r="A20" s="10" t="inlineStr">
        <is>
          <t>08:30</t>
        </is>
      </c>
      <c r="B20" s="8" t="inlineStr">
        <is>
          <t>Quick hotel breakfast</t>
        </is>
      </c>
      <c r="C20" s="8" t="inlineStr">
        <is>
          <t>Hotel</t>
        </is>
      </c>
      <c r="D20" s="11" t="n"/>
      <c r="E20" s="12" t="n"/>
      <c r="F20" s="13" t="n">
        <v>0</v>
      </c>
      <c r="G20" s="14" t="n"/>
      <c r="H20" s="8" t="inlineStr"/>
      <c r="I20" s="10" t="inlineStr">
        <is>
          <t>☐</t>
        </is>
      </c>
    </row>
    <row r="21" ht="26" customHeight="1">
      <c r="A21" s="15" t="inlineStr">
        <is>
          <t>09:30</t>
        </is>
      </c>
      <c r="B21" s="3" t="inlineStr">
        <is>
          <t>Grab to Binondo (Plaza Lorenzo Ruiz)</t>
        </is>
      </c>
      <c r="C21" s="3" t="inlineStr">
        <is>
          <t>Makati → Binondo</t>
        </is>
      </c>
      <c r="D21" s="16" t="n">
        <v>8.199999999999999</v>
      </c>
      <c r="E21" s="17" t="n">
        <v>30</v>
      </c>
      <c r="F21" s="18" t="n">
        <v>320</v>
      </c>
      <c r="G21" s="19" t="n"/>
      <c r="H21" s="3" t="inlineStr"/>
      <c r="I21" s="15" t="inlineStr">
        <is>
          <t>☐</t>
        </is>
      </c>
    </row>
    <row r="22" ht="26" customHeight="1">
      <c r="A22" s="10" t="inlineStr">
        <is>
          <t>10:00</t>
        </is>
      </c>
      <c r="B22" s="8" t="inlineStr">
        <is>
          <t>Old Manila Walks Big Binondo Food Wok</t>
        </is>
      </c>
      <c r="C22" s="8" t="inlineStr">
        <is>
          <t>Binondo walk</t>
        </is>
      </c>
      <c r="D22" s="11" t="n"/>
      <c r="E22" s="12" t="n">
        <v>240</v>
      </c>
      <c r="F22" s="13" t="n">
        <v>1500</v>
      </c>
      <c r="G22" s="14" t="n"/>
      <c r="H22" s="8" t="inlineStr">
        <is>
          <t>Book ahead; eats included</t>
        </is>
      </c>
      <c r="I22" s="10" t="inlineStr">
        <is>
          <t>☐</t>
        </is>
      </c>
    </row>
    <row r="23" ht="26" customHeight="1">
      <c r="A23" s="15" t="inlineStr">
        <is>
          <t>14:00</t>
        </is>
      </c>
      <c r="B23" s="3" t="inlineStr">
        <is>
          <t>Cross Jones Bridge to Quiapo</t>
        </is>
      </c>
      <c r="C23" s="3" t="inlineStr">
        <is>
          <t>Walk over Pasig</t>
        </is>
      </c>
      <c r="D23" s="16" t="n">
        <v>1</v>
      </c>
      <c r="E23" s="17" t="n">
        <v>18</v>
      </c>
      <c r="F23" s="18" t="n">
        <v>0</v>
      </c>
      <c r="G23" s="19" t="n"/>
      <c r="H23" s="3" t="inlineStr"/>
      <c r="I23" s="15" t="inlineStr">
        <is>
          <t>☐</t>
        </is>
      </c>
    </row>
    <row r="24" ht="26" customHeight="1">
      <c r="A24" s="10" t="inlineStr">
        <is>
          <t>14:30</t>
        </is>
      </c>
      <c r="B24" s="8" t="inlineStr">
        <is>
          <t>Quiapo Church + Plaza Miranda</t>
        </is>
      </c>
      <c r="C24" s="8" t="inlineStr">
        <is>
          <t>Within Quiapo</t>
        </is>
      </c>
      <c r="D24" s="11" t="n"/>
      <c r="E24" s="12" t="n">
        <v>45</v>
      </c>
      <c r="F24" s="13" t="n">
        <v>0</v>
      </c>
      <c r="G24" s="14" t="n"/>
      <c r="H24" s="8" t="inlineStr">
        <is>
          <t>Watch belongings</t>
        </is>
      </c>
      <c r="I24" s="10" t="inlineStr">
        <is>
          <t>☐</t>
        </is>
      </c>
    </row>
    <row r="25" ht="26" customHeight="1">
      <c r="A25" s="15" t="inlineStr">
        <is>
          <t>15:30</t>
        </is>
      </c>
      <c r="B25" s="3" t="inlineStr">
        <is>
          <t>Hidalgo St photography row + Villalobos herb stalls</t>
        </is>
      </c>
      <c r="C25" s="3" t="inlineStr">
        <is>
          <t>Quiapo streets</t>
        </is>
      </c>
      <c r="D25" s="16" t="n"/>
      <c r="E25" s="17" t="n">
        <v>45</v>
      </c>
      <c r="F25" s="18" t="n">
        <v>0</v>
      </c>
      <c r="G25" s="19" t="n"/>
      <c r="H25" s="3" t="inlineStr"/>
      <c r="I25" s="15" t="inlineStr">
        <is>
          <t>☐</t>
        </is>
      </c>
    </row>
    <row r="26" ht="26" customHeight="1">
      <c r="A26" s="10" t="inlineStr">
        <is>
          <t>16:30</t>
        </is>
      </c>
      <c r="B26" s="8" t="inlineStr">
        <is>
          <t>Grab to Escolta — heritage art district</t>
        </is>
      </c>
      <c r="C26" s="8" t="inlineStr">
        <is>
          <t>Quiapo → Escolta</t>
        </is>
      </c>
      <c r="D26" s="11" t="n">
        <v>1</v>
      </c>
      <c r="E26" s="12" t="n">
        <v>10</v>
      </c>
      <c r="F26" s="13" t="n">
        <v>100</v>
      </c>
      <c r="G26" s="14" t="n"/>
      <c r="H26" s="8" t="inlineStr"/>
      <c r="I26" s="10" t="inlineStr">
        <is>
          <t>☐</t>
        </is>
      </c>
    </row>
    <row r="27" ht="26" customHeight="1">
      <c r="A27" s="15" t="inlineStr">
        <is>
          <t>17:00</t>
        </is>
      </c>
      <c r="B27" s="3" t="inlineStr">
        <is>
          <t>Calvo Building, HUB:Make Lab, Capitol Theatre ruins</t>
        </is>
      </c>
      <c r="C27" s="3" t="inlineStr">
        <is>
          <t>Walk Escolta</t>
        </is>
      </c>
      <c r="D27" s="16" t="n"/>
      <c r="E27" s="17" t="n">
        <v>60</v>
      </c>
      <c r="F27" s="18" t="n">
        <v>0</v>
      </c>
      <c r="G27" s="19" t="n"/>
      <c r="H27" s="3" t="inlineStr"/>
      <c r="I27" s="15" t="inlineStr">
        <is>
          <t>☐</t>
        </is>
      </c>
    </row>
    <row r="28" ht="26" customHeight="1">
      <c r="A28" s="10" t="inlineStr">
        <is>
          <t>18:30</t>
        </is>
      </c>
      <c r="B28" s="8" t="inlineStr">
        <is>
          <t>Grab back to Makati — rest 1hr</t>
        </is>
      </c>
      <c r="C28" s="8" t="inlineStr">
        <is>
          <t>Escolta → Makati</t>
        </is>
      </c>
      <c r="D28" s="11" t="n">
        <v>8.5</v>
      </c>
      <c r="E28" s="12" t="n">
        <v>35</v>
      </c>
      <c r="F28" s="13" t="n">
        <v>350</v>
      </c>
      <c r="G28" s="14" t="n"/>
      <c r="H28" s="8" t="inlineStr">
        <is>
          <t>Rush hour buffer</t>
        </is>
      </c>
      <c r="I28" s="10" t="inlineStr">
        <is>
          <t>☐</t>
        </is>
      </c>
    </row>
    <row r="29" ht="26" customHeight="1">
      <c r="A29" s="15" t="inlineStr">
        <is>
          <t>20:30</t>
        </is>
      </c>
      <c r="B29" s="3" t="inlineStr">
        <is>
          <t>Dinner: Manam Greenbelt</t>
        </is>
      </c>
      <c r="C29" s="3" t="inlineStr">
        <is>
          <t>Walk Ayala</t>
        </is>
      </c>
      <c r="D29" s="16" t="n">
        <v>0.5</v>
      </c>
      <c r="E29" s="17" t="n">
        <v>8</v>
      </c>
      <c r="F29" s="18" t="n">
        <v>700</v>
      </c>
      <c r="G29" s="19" t="n"/>
      <c r="H29" s="3" t="inlineStr"/>
      <c r="I29" s="15" t="inlineStr">
        <is>
          <t>☐</t>
        </is>
      </c>
    </row>
    <row r="30" ht="26" customHeight="1">
      <c r="A30" s="10" t="inlineStr">
        <is>
          <t>22:00</t>
        </is>
      </c>
      <c r="B30" s="8" t="inlineStr">
        <is>
          <t>Z Hostel Rooftop / Poblacion bar crawl</t>
        </is>
      </c>
      <c r="C30" s="8" t="inlineStr">
        <is>
          <t>Walk Poblacion</t>
        </is>
      </c>
      <c r="D30" s="11" t="n">
        <v>0.6</v>
      </c>
      <c r="E30" s="12" t="n">
        <v>10</v>
      </c>
      <c r="F30" s="13" t="n">
        <v>600</v>
      </c>
      <c r="G30" s="14" t="n"/>
      <c r="H30" s="8" t="inlineStr">
        <is>
          <t>Optional</t>
        </is>
      </c>
      <c r="I30" s="10" t="inlineStr">
        <is>
          <t>☐</t>
        </is>
      </c>
    </row>
    <row r="31">
      <c r="A31" s="20" t="inlineStr">
        <is>
          <t>Day total</t>
        </is>
      </c>
      <c r="B31" s="20" t="n"/>
      <c r="C31" s="20" t="n"/>
      <c r="D31" s="21">
        <f>SUM(D20:D30)</f>
        <v/>
      </c>
      <c r="E31" s="22">
        <f>SUM(E20:E30)</f>
        <v/>
      </c>
      <c r="F31" s="23">
        <f>SUM(F20:F30)</f>
        <v/>
      </c>
      <c r="G31" s="24">
        <f>SUM(G20:G30)</f>
        <v/>
      </c>
      <c r="H31" s="20" t="n"/>
      <c r="I31" s="25" t="n"/>
    </row>
    <row r="33" ht="22" customHeight="1">
      <c r="A33" s="9" t="inlineStr">
        <is>
          <t>Day 3 — Sat 30 May: Tagaytay Day Trip (Taal + Bulalo)</t>
        </is>
      </c>
    </row>
    <row r="34">
      <c r="A34" s="7" t="inlineStr">
        <is>
          <t>Time</t>
        </is>
      </c>
      <c r="B34" s="7" t="inlineStr">
        <is>
          <t>Activity</t>
        </is>
      </c>
      <c r="C34" s="7" t="inlineStr">
        <is>
          <t>From -&gt; To</t>
        </is>
      </c>
      <c r="D34" s="7" t="inlineStr">
        <is>
          <t>Dist (km)</t>
        </is>
      </c>
      <c r="E34" s="7" t="inlineStr">
        <is>
          <t>Travel (min)</t>
        </is>
      </c>
      <c r="F34" s="7" t="inlineStr">
        <is>
          <t>Cost (local)</t>
        </is>
      </c>
      <c r="G34" s="7" t="inlineStr">
        <is>
          <t>Cost (SGD)</t>
        </is>
      </c>
      <c r="H34" s="7" t="inlineStr">
        <is>
          <t>Notes</t>
        </is>
      </c>
      <c r="I34" s="7" t="inlineStr">
        <is>
          <t>✓</t>
        </is>
      </c>
    </row>
    <row r="35" ht="26" customHeight="1">
      <c r="A35" s="10" t="inlineStr">
        <is>
          <t>07:00</t>
        </is>
      </c>
      <c r="B35" s="8" t="inlineStr">
        <is>
          <t>Hotel pickup — private car or Grab to Tagaytay</t>
        </is>
      </c>
      <c r="C35" s="8" t="inlineStr">
        <is>
          <t>Makati → Tagaytay</t>
        </is>
      </c>
      <c r="D35" s="11" t="n">
        <v>60</v>
      </c>
      <c r="E35" s="12" t="n">
        <v>105</v>
      </c>
      <c r="F35" s="13" t="n">
        <v>3500</v>
      </c>
      <c r="G35" s="14" t="n"/>
      <c r="H35" s="8" t="inlineStr">
        <is>
          <t>Private car ₱3,500-4,500 RT</t>
        </is>
      </c>
      <c r="I35" s="10" t="inlineStr">
        <is>
          <t>☐</t>
        </is>
      </c>
    </row>
    <row r="36" ht="26" customHeight="1">
      <c r="A36" s="15" t="inlineStr">
        <is>
          <t>09:00</t>
        </is>
      </c>
      <c r="B36" s="3" t="inlineStr">
        <is>
          <t>Picnic Grove / People's Park in the Sky — Taal panorama</t>
        </is>
      </c>
      <c r="C36" s="3" t="inlineStr">
        <is>
          <t>Tagaytay ridge</t>
        </is>
      </c>
      <c r="D36" s="16" t="n"/>
      <c r="E36" s="17" t="n">
        <v>90</v>
      </c>
      <c r="F36" s="18" t="n">
        <v>100</v>
      </c>
      <c r="G36" s="19" t="n"/>
      <c r="H36" s="3" t="inlineStr">
        <is>
          <t>Cool 22-25°C</t>
        </is>
      </c>
      <c r="I36" s="15" t="inlineStr">
        <is>
          <t>☐</t>
        </is>
      </c>
    </row>
    <row r="37" ht="26" customHeight="1">
      <c r="A37" s="10" t="inlineStr">
        <is>
          <t>11:00</t>
        </is>
      </c>
      <c r="B37" s="8" t="inlineStr">
        <is>
          <t>Sky Ranch (optional ferris wheel)</t>
        </is>
      </c>
      <c r="C37" s="8" t="inlineStr">
        <is>
          <t>Tagaytay</t>
        </is>
      </c>
      <c r="D37" s="11" t="n"/>
      <c r="E37" s="12" t="n">
        <v>60</v>
      </c>
      <c r="F37" s="13" t="n">
        <v>600</v>
      </c>
      <c r="G37" s="14" t="n"/>
      <c r="H37" s="8" t="inlineStr">
        <is>
          <t>Skip if not into rides</t>
        </is>
      </c>
      <c r="I37" s="10" t="inlineStr">
        <is>
          <t>☐</t>
        </is>
      </c>
    </row>
    <row r="38" ht="26" customHeight="1">
      <c r="A38" s="15" t="inlineStr">
        <is>
          <t>12:30</t>
        </is>
      </c>
      <c r="B38" s="3" t="inlineStr">
        <is>
          <t>Lunch: Bulalo at Leslie's / Diner's</t>
        </is>
      </c>
      <c r="C38" s="3" t="inlineStr">
        <is>
          <t>Aguinaldo Hwy</t>
        </is>
      </c>
      <c r="D38" s="16" t="n"/>
      <c r="E38" s="17" t="n">
        <v>75</v>
      </c>
      <c r="F38" s="18" t="n">
        <v>750</v>
      </c>
      <c r="G38" s="19" t="n"/>
      <c r="H38" s="3" t="inlineStr">
        <is>
          <t>Bone-marrow beef stew</t>
        </is>
      </c>
      <c r="I38" s="15" t="inlineStr">
        <is>
          <t>☐</t>
        </is>
      </c>
    </row>
    <row r="39" ht="26" customHeight="1">
      <c r="A39" s="10" t="inlineStr">
        <is>
          <t>14:30</t>
        </is>
      </c>
      <c r="B39" s="8" t="inlineStr">
        <is>
          <t>Sonya's Garden — organic farm + cafe</t>
        </is>
      </c>
      <c r="C39" s="8" t="inlineStr">
        <is>
          <t>Alfonso side</t>
        </is>
      </c>
      <c r="D39" s="11" t="n">
        <v>8</v>
      </c>
      <c r="E39" s="12" t="n">
        <v>20</v>
      </c>
      <c r="F39" s="13" t="n">
        <v>250</v>
      </c>
      <c r="G39" s="14" t="n"/>
      <c r="H39" s="8" t="inlineStr">
        <is>
          <t>Pretty stop</t>
        </is>
      </c>
      <c r="I39" s="10" t="inlineStr">
        <is>
          <t>☐</t>
        </is>
      </c>
    </row>
    <row r="40" ht="26" customHeight="1">
      <c r="A40" s="15" t="inlineStr">
        <is>
          <t>16:00</t>
        </is>
      </c>
      <c r="B40" s="3" t="inlineStr">
        <is>
          <t>Mahogany Market for souvenirs (kapeng barako, buko pie)</t>
        </is>
      </c>
      <c r="C40" s="3" t="inlineStr">
        <is>
          <t>Tagaytay</t>
        </is>
      </c>
      <c r="D40" s="16" t="n"/>
      <c r="E40" s="17" t="n">
        <v>45</v>
      </c>
      <c r="F40" s="18" t="n">
        <v>400</v>
      </c>
      <c r="G40" s="19" t="n"/>
      <c r="H40" s="3" t="inlineStr"/>
      <c r="I40" s="15" t="inlineStr">
        <is>
          <t>☐</t>
        </is>
      </c>
    </row>
    <row r="41" ht="26" customHeight="1">
      <c r="A41" s="10" t="inlineStr">
        <is>
          <t>17:00</t>
        </is>
      </c>
      <c r="B41" s="8" t="inlineStr">
        <is>
          <t>Drive back to Makati</t>
        </is>
      </c>
      <c r="C41" s="8" t="inlineStr">
        <is>
          <t>Tagaytay → Makati</t>
        </is>
      </c>
      <c r="D41" s="11" t="n">
        <v>60</v>
      </c>
      <c r="E41" s="12" t="n">
        <v>120</v>
      </c>
      <c r="F41" s="13" t="n">
        <v>0</v>
      </c>
      <c r="G41" s="14" t="n"/>
      <c r="H41" s="8" t="inlineStr">
        <is>
          <t>Light Sat traffic outbound</t>
        </is>
      </c>
      <c r="I41" s="10" t="inlineStr">
        <is>
          <t>☐</t>
        </is>
      </c>
    </row>
    <row r="42" ht="26" customHeight="1">
      <c r="A42" s="15" t="inlineStr">
        <is>
          <t>19:30</t>
        </is>
      </c>
      <c r="B42" s="3" t="inlineStr">
        <is>
          <t>Massage: Nuat Thai or The Spa BGC</t>
        </is>
      </c>
      <c r="C42" s="3" t="inlineStr">
        <is>
          <t>Hotel area</t>
        </is>
      </c>
      <c r="D42" s="16" t="n">
        <v>1</v>
      </c>
      <c r="E42" s="17" t="n">
        <v>10</v>
      </c>
      <c r="F42" s="18" t="n">
        <v>700</v>
      </c>
      <c r="G42" s="19" t="n"/>
      <c r="H42" s="3" t="inlineStr">
        <is>
          <t>Recover from drive</t>
        </is>
      </c>
      <c r="I42" s="15" t="inlineStr">
        <is>
          <t>☐</t>
        </is>
      </c>
    </row>
    <row r="43" ht="26" customHeight="1">
      <c r="A43" s="10" t="inlineStr">
        <is>
          <t>21:30</t>
        </is>
      </c>
      <c r="B43" s="8" t="inlineStr">
        <is>
          <t>Late dinner near hotel or skip</t>
        </is>
      </c>
      <c r="C43" s="8" t="inlineStr">
        <is>
          <t>Walk</t>
        </is>
      </c>
      <c r="D43" s="11" t="n"/>
      <c r="E43" s="12" t="n"/>
      <c r="F43" s="13" t="n">
        <v>500</v>
      </c>
      <c r="G43" s="14" t="n"/>
      <c r="H43" s="8" t="inlineStr"/>
      <c r="I43" s="10" t="inlineStr">
        <is>
          <t>☐</t>
        </is>
      </c>
    </row>
    <row r="44">
      <c r="A44" s="20" t="inlineStr">
        <is>
          <t>Day total</t>
        </is>
      </c>
      <c r="B44" s="20" t="n"/>
      <c r="C44" s="20" t="n"/>
      <c r="D44" s="21">
        <f>SUM(D35:D43)</f>
        <v/>
      </c>
      <c r="E44" s="22">
        <f>SUM(E35:E43)</f>
        <v/>
      </c>
      <c r="F44" s="23">
        <f>SUM(F35:F43)</f>
        <v/>
      </c>
      <c r="G44" s="24">
        <f>SUM(G35:G43)</f>
        <v/>
      </c>
      <c r="H44" s="20" t="n"/>
      <c r="I44" s="25" t="n"/>
    </row>
    <row r="46" ht="22" customHeight="1">
      <c r="A46" s="9" t="inlineStr">
        <is>
          <t>Day 4 — Sun 31 May: Makati Museum + BGC + Spa</t>
        </is>
      </c>
    </row>
    <row r="47">
      <c r="A47" s="7" t="inlineStr">
        <is>
          <t>Time</t>
        </is>
      </c>
      <c r="B47" s="7" t="inlineStr">
        <is>
          <t>Activity</t>
        </is>
      </c>
      <c r="C47" s="7" t="inlineStr">
        <is>
          <t>From -&gt; To</t>
        </is>
      </c>
      <c r="D47" s="7" t="inlineStr">
        <is>
          <t>Dist (km)</t>
        </is>
      </c>
      <c r="E47" s="7" t="inlineStr">
        <is>
          <t>Travel (min)</t>
        </is>
      </c>
      <c r="F47" s="7" t="inlineStr">
        <is>
          <t>Cost (local)</t>
        </is>
      </c>
      <c r="G47" s="7" t="inlineStr">
        <is>
          <t>Cost (SGD)</t>
        </is>
      </c>
      <c r="H47" s="7" t="inlineStr">
        <is>
          <t>Notes</t>
        </is>
      </c>
      <c r="I47" s="7" t="inlineStr">
        <is>
          <t>✓</t>
        </is>
      </c>
    </row>
    <row r="48" ht="26" customHeight="1">
      <c r="A48" s="10" t="inlineStr">
        <is>
          <t>09:00</t>
        </is>
      </c>
      <c r="B48" s="8" t="inlineStr">
        <is>
          <t>Sunday Legaspi Market — kakanin, cochinillo, produce</t>
        </is>
      </c>
      <c r="C48" s="8" t="inlineStr">
        <is>
          <t>Walk Legaspi Village</t>
        </is>
      </c>
      <c r="D48" s="11" t="n">
        <v>0.8</v>
      </c>
      <c r="E48" s="12" t="n">
        <v>12</v>
      </c>
      <c r="F48" s="13" t="n">
        <v>600</v>
      </c>
      <c r="G48" s="14" t="n"/>
      <c r="H48" s="8" t="inlineStr">
        <is>
          <t>Sundays only 07:30-14:00</t>
        </is>
      </c>
      <c r="I48" s="10" t="inlineStr">
        <is>
          <t>☐</t>
        </is>
      </c>
    </row>
    <row r="49" ht="26" customHeight="1">
      <c r="A49" s="15" t="inlineStr">
        <is>
          <t>10:30</t>
        </is>
      </c>
      <c r="B49" s="3" t="inlineStr">
        <is>
          <t>Ayala Museum — Gold of Ancestors + Diorama</t>
        </is>
      </c>
      <c r="C49" s="3" t="inlineStr">
        <is>
          <t>Walk Greenbelt</t>
        </is>
      </c>
      <c r="D49" s="16" t="n">
        <v>0.4</v>
      </c>
      <c r="E49" s="17" t="n">
        <v>6</v>
      </c>
      <c r="F49" s="18" t="n">
        <v>650</v>
      </c>
      <c r="G49" s="19" t="n"/>
      <c r="H49" s="3" t="inlineStr">
        <is>
          <t>Tue-Sun open</t>
        </is>
      </c>
      <c r="I49" s="15" t="inlineStr">
        <is>
          <t>☐</t>
        </is>
      </c>
    </row>
    <row r="50" ht="26" customHeight="1">
      <c r="A50" s="10" t="inlineStr">
        <is>
          <t>13:00</t>
        </is>
      </c>
      <c r="B50" s="8" t="inlineStr">
        <is>
          <t>Lunch: Romulo Café or Wildflour</t>
        </is>
      </c>
      <c r="C50" s="8" t="inlineStr">
        <is>
          <t>Makati</t>
        </is>
      </c>
      <c r="D50" s="11" t="n">
        <v>0.3</v>
      </c>
      <c r="E50" s="12" t="n">
        <v>5</v>
      </c>
      <c r="F50" s="13" t="n">
        <v>800</v>
      </c>
      <c r="G50" s="14" t="n"/>
      <c r="H50" s="8" t="inlineStr"/>
      <c r="I50" s="10" t="inlineStr">
        <is>
          <t>☐</t>
        </is>
      </c>
    </row>
    <row r="51" ht="26" customHeight="1">
      <c r="A51" s="15" t="inlineStr">
        <is>
          <t>14:30</t>
        </is>
      </c>
      <c r="B51" s="3" t="inlineStr">
        <is>
          <t>Grab to BGC</t>
        </is>
      </c>
      <c r="C51" s="3" t="inlineStr">
        <is>
          <t>Makati → BGC</t>
        </is>
      </c>
      <c r="D51" s="16" t="n">
        <v>4</v>
      </c>
      <c r="E51" s="17" t="n">
        <v>18</v>
      </c>
      <c r="F51" s="18" t="n">
        <v>200</v>
      </c>
      <c r="G51" s="19" t="n"/>
      <c r="H51" s="3" t="inlineStr"/>
      <c r="I51" s="15" t="inlineStr">
        <is>
          <t>☐</t>
        </is>
      </c>
    </row>
    <row r="52" ht="26" customHeight="1">
      <c r="A52" s="10" t="inlineStr">
        <is>
          <t>15:00</t>
        </is>
      </c>
      <c r="B52" s="8" t="inlineStr">
        <is>
          <t>BGC street-art walk + The Alley at Karrivin (galleries)</t>
        </is>
      </c>
      <c r="C52" s="8" t="inlineStr">
        <is>
          <t>Walk BGC</t>
        </is>
      </c>
      <c r="D52" s="11" t="n"/>
      <c r="E52" s="12" t="n">
        <v>90</v>
      </c>
      <c r="F52" s="13" t="n">
        <v>0</v>
      </c>
      <c r="G52" s="14" t="n"/>
      <c r="H52" s="8" t="inlineStr">
        <is>
          <t>Free, well-curated</t>
        </is>
      </c>
      <c r="I52" s="10" t="inlineStr">
        <is>
          <t>☐</t>
        </is>
      </c>
    </row>
    <row r="53" ht="26" customHeight="1">
      <c r="A53" s="15" t="inlineStr">
        <is>
          <t>16:30</t>
        </is>
      </c>
      <c r="B53" s="3" t="inlineStr">
        <is>
          <t>Mind Museum (if into science) OR Bonifacio High Street stroll</t>
        </is>
      </c>
      <c r="C53" s="3" t="inlineStr">
        <is>
          <t>BGC</t>
        </is>
      </c>
      <c r="D53" s="16" t="n"/>
      <c r="E53" s="17" t="n">
        <v>90</v>
      </c>
      <c r="F53" s="18" t="n">
        <v>750</v>
      </c>
      <c r="G53" s="19" t="n"/>
      <c r="H53" s="3" t="inlineStr">
        <is>
          <t>Optional</t>
        </is>
      </c>
      <c r="I53" s="15" t="inlineStr">
        <is>
          <t>☐</t>
        </is>
      </c>
    </row>
    <row r="54" ht="26" customHeight="1">
      <c r="A54" s="10" t="inlineStr">
        <is>
          <t>18:30</t>
        </is>
      </c>
      <c r="B54" s="8" t="inlineStr">
        <is>
          <t>The Spa BGC — 90min Swedish or hilot</t>
        </is>
      </c>
      <c r="C54" s="8" t="inlineStr">
        <is>
          <t>BGC</t>
        </is>
      </c>
      <c r="D54" s="11" t="n"/>
      <c r="E54" s="12" t="n">
        <v>90</v>
      </c>
      <c r="F54" s="13" t="n">
        <v>2200</v>
      </c>
      <c r="G54" s="14" t="n"/>
      <c r="H54" s="8" t="inlineStr">
        <is>
          <t>Book ahead</t>
        </is>
      </c>
      <c r="I54" s="10" t="inlineStr">
        <is>
          <t>☐</t>
        </is>
      </c>
    </row>
    <row r="55" ht="26" customHeight="1">
      <c r="A55" s="15" t="inlineStr">
        <is>
          <t>20:30</t>
        </is>
      </c>
      <c r="B55" s="3" t="inlineStr">
        <is>
          <t>Dinner: Toyo Eatery (book 2wks ahead) or Las Flores</t>
        </is>
      </c>
      <c r="C55" s="3" t="inlineStr">
        <is>
          <t>Karrivin/BGC</t>
        </is>
      </c>
      <c r="D55" s="16" t="n">
        <v>1.5</v>
      </c>
      <c r="E55" s="17" t="n">
        <v>8</v>
      </c>
      <c r="F55" s="18" t="n">
        <v>3500</v>
      </c>
      <c r="G55" s="19" t="n"/>
      <c r="H55" s="3" t="inlineStr">
        <is>
          <t>Splurge night</t>
        </is>
      </c>
      <c r="I55" s="15" t="inlineStr">
        <is>
          <t>☐</t>
        </is>
      </c>
    </row>
    <row r="56" ht="26" customHeight="1">
      <c r="A56" s="10" t="inlineStr">
        <is>
          <t>22:30</t>
        </is>
      </c>
      <c r="B56" s="8" t="inlineStr">
        <is>
          <t>The Curator speakeasy nightcap</t>
        </is>
      </c>
      <c r="C56" s="8" t="inlineStr">
        <is>
          <t>Makati</t>
        </is>
      </c>
      <c r="D56" s="11" t="n">
        <v>4</v>
      </c>
      <c r="E56" s="12" t="n">
        <v>15</v>
      </c>
      <c r="F56" s="13" t="n">
        <v>600</v>
      </c>
      <c r="G56" s="14" t="n"/>
      <c r="H56" s="8" t="inlineStr">
        <is>
          <t>Optional</t>
        </is>
      </c>
      <c r="I56" s="10" t="inlineStr">
        <is>
          <t>☐</t>
        </is>
      </c>
    </row>
    <row r="57">
      <c r="A57" s="20" t="inlineStr">
        <is>
          <t>Day total</t>
        </is>
      </c>
      <c r="B57" s="20" t="n"/>
      <c r="C57" s="20" t="n"/>
      <c r="D57" s="21">
        <f>SUM(D48:D56)</f>
        <v/>
      </c>
      <c r="E57" s="22">
        <f>SUM(E48:E56)</f>
        <v/>
      </c>
      <c r="F57" s="23">
        <f>SUM(F48:F56)</f>
        <v/>
      </c>
      <c r="G57" s="24">
        <f>SUM(G48:G56)</f>
        <v/>
      </c>
      <c r="H57" s="20" t="n"/>
      <c r="I57" s="25" t="n"/>
    </row>
    <row r="59" ht="22" customHeight="1">
      <c r="A59" s="9" t="inlineStr">
        <is>
          <t>Day 5 — Mon 01 Jun: Pasalubong + Departure</t>
        </is>
      </c>
    </row>
    <row r="60">
      <c r="A60" s="7" t="inlineStr">
        <is>
          <t>Time</t>
        </is>
      </c>
      <c r="B60" s="7" t="inlineStr">
        <is>
          <t>Activity</t>
        </is>
      </c>
      <c r="C60" s="7" t="inlineStr">
        <is>
          <t>From -&gt; To</t>
        </is>
      </c>
      <c r="D60" s="7" t="inlineStr">
        <is>
          <t>Dist (km)</t>
        </is>
      </c>
      <c r="E60" s="7" t="inlineStr">
        <is>
          <t>Travel (min)</t>
        </is>
      </c>
      <c r="F60" s="7" t="inlineStr">
        <is>
          <t>Cost (local)</t>
        </is>
      </c>
      <c r="G60" s="7" t="inlineStr">
        <is>
          <t>Cost (SGD)</t>
        </is>
      </c>
      <c r="H60" s="7" t="inlineStr">
        <is>
          <t>Notes</t>
        </is>
      </c>
      <c r="I60" s="7" t="inlineStr">
        <is>
          <t>✓</t>
        </is>
      </c>
    </row>
    <row r="61" ht="26" customHeight="1">
      <c r="A61" s="10" t="inlineStr">
        <is>
          <t>09:00</t>
        </is>
      </c>
      <c r="B61" s="8" t="inlineStr">
        <is>
          <t>Hotel breakfast + pack</t>
        </is>
      </c>
      <c r="C61" s="8" t="inlineStr">
        <is>
          <t>Hotel</t>
        </is>
      </c>
      <c r="D61" s="11" t="n"/>
      <c r="E61" s="12" t="n"/>
      <c r="F61" s="13" t="n">
        <v>0</v>
      </c>
      <c r="G61" s="14" t="n"/>
      <c r="H61" s="8" t="inlineStr"/>
      <c r="I61" s="10" t="inlineStr">
        <is>
          <t>☐</t>
        </is>
      </c>
    </row>
    <row r="62" ht="26" customHeight="1">
      <c r="A62" s="15" t="inlineStr">
        <is>
          <t>10:30</t>
        </is>
      </c>
      <c r="B62" s="3" t="inlineStr">
        <is>
          <t>Kultura Filipino (SM Aura or Greenbelt) — pasalubong run</t>
        </is>
      </c>
      <c r="C62" s="3" t="inlineStr">
        <is>
          <t>Mall walk/Grab</t>
        </is>
      </c>
      <c r="D62" s="16" t="n">
        <v>1</v>
      </c>
      <c r="E62" s="17" t="n">
        <v>8</v>
      </c>
      <c r="F62" s="18" t="n">
        <v>1500</v>
      </c>
      <c r="G62" s="19" t="n"/>
      <c r="H62" s="3" t="inlineStr">
        <is>
          <t>Local crafts, brands</t>
        </is>
      </c>
      <c r="I62" s="15" t="inlineStr">
        <is>
          <t>☐</t>
        </is>
      </c>
    </row>
    <row r="63" ht="26" customHeight="1">
      <c r="A63" s="10" t="inlineStr">
        <is>
          <t>12:00</t>
        </is>
      </c>
      <c r="B63" s="8" t="inlineStr">
        <is>
          <t>Final lunch: Sentro 1771 (Filipino comfort) or Wildflour</t>
        </is>
      </c>
      <c r="C63" s="8" t="inlineStr">
        <is>
          <t>Greenbelt</t>
        </is>
      </c>
      <c r="D63" s="11" t="n"/>
      <c r="E63" s="12" t="n">
        <v>75</v>
      </c>
      <c r="F63" s="13" t="n">
        <v>700</v>
      </c>
      <c r="G63" s="14" t="n"/>
      <c r="H63" s="8" t="inlineStr"/>
      <c r="I63" s="10" t="inlineStr">
        <is>
          <t>☐</t>
        </is>
      </c>
    </row>
    <row r="64" ht="26" customHeight="1">
      <c r="A64" s="15" t="inlineStr">
        <is>
          <t>13:30</t>
        </is>
      </c>
      <c r="B64" s="3" t="inlineStr">
        <is>
          <t>Hotel checkout; Grab to NAIA</t>
        </is>
      </c>
      <c r="C64" s="3" t="inlineStr">
        <is>
          <t>Makati → NAIA</t>
        </is>
      </c>
      <c r="D64" s="16" t="n">
        <v>8.5</v>
      </c>
      <c r="E64" s="17" t="n">
        <v>45</v>
      </c>
      <c r="F64" s="18" t="n">
        <v>400</v>
      </c>
      <c r="G64" s="19" t="n"/>
      <c r="H64" s="3" t="inlineStr">
        <is>
          <t>Allow 2hr+ for traffic</t>
        </is>
      </c>
      <c r="I64" s="15" t="inlineStr">
        <is>
          <t>☐</t>
        </is>
      </c>
    </row>
    <row r="65" ht="26" customHeight="1">
      <c r="A65" s="10" t="inlineStr">
        <is>
          <t>14:30</t>
        </is>
      </c>
      <c r="B65" s="8" t="inlineStr">
        <is>
          <t>Arrive NAIA — domestic check-in</t>
        </is>
      </c>
      <c r="C65" s="8" t="inlineStr">
        <is>
          <t>NAIA</t>
        </is>
      </c>
      <c r="D65" s="11" t="n"/>
      <c r="E65" s="12" t="n"/>
      <c r="F65" s="13" t="n">
        <v>0</v>
      </c>
      <c r="G65" s="14" t="n"/>
      <c r="H65" s="8" t="inlineStr">
        <is>
          <t>Domestic: 1.5hr buffer; Cebu Pacific/PAL T2/T3</t>
        </is>
      </c>
      <c r="I65" s="10" t="inlineStr">
        <is>
          <t>☐</t>
        </is>
      </c>
    </row>
    <row r="66" ht="26" customHeight="1">
      <c r="A66" s="15" t="inlineStr">
        <is>
          <t>16:00+</t>
        </is>
      </c>
      <c r="B66" s="3" t="inlineStr">
        <is>
          <t>Departure</t>
        </is>
      </c>
      <c r="C66" s="3" t="inlineStr"/>
      <c r="D66" s="16" t="n"/>
      <c r="E66" s="17" t="n"/>
      <c r="F66" s="18" t="n"/>
      <c r="G66" s="19" t="n"/>
      <c r="H66" s="3" t="inlineStr">
        <is>
          <t>Adjust to actual flight time</t>
        </is>
      </c>
      <c r="I66" s="15" t="inlineStr">
        <is>
          <t>☐</t>
        </is>
      </c>
    </row>
    <row r="67">
      <c r="A67" s="20" t="inlineStr">
        <is>
          <t>Day total</t>
        </is>
      </c>
      <c r="B67" s="20" t="n"/>
      <c r="C67" s="20" t="n"/>
      <c r="D67" s="21">
        <f>SUM(D61:D66)</f>
        <v/>
      </c>
      <c r="E67" s="22">
        <f>SUM(E61:E66)</f>
        <v/>
      </c>
      <c r="F67" s="23">
        <f>SUM(F61:F66)</f>
        <v/>
      </c>
      <c r="G67" s="24">
        <f>SUM(G61:G66)</f>
        <v/>
      </c>
      <c r="H67" s="20" t="n"/>
      <c r="I67" s="25" t="n"/>
    </row>
  </sheetData>
  <mergeCells count="6">
    <mergeCell ref="A59:I59"/>
    <mergeCell ref="A33:I33"/>
    <mergeCell ref="A46:I46"/>
    <mergeCell ref="A1:I1"/>
    <mergeCell ref="A18:I18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22" customWidth="1" min="3" max="3"/>
    <col width="9" customWidth="1" min="4" max="4"/>
    <col width="10" customWidth="1" min="5" max="5"/>
    <col width="13" customWidth="1" min="6" max="6"/>
    <col width="12" customWidth="1" min="7" max="7"/>
    <col width="38" customWidth="1" min="8" max="8"/>
    <col width="5" customWidth="1" min="9" max="9"/>
  </cols>
  <sheetData>
    <row r="1" ht="24" customHeight="1">
      <c r="A1" s="26" t="inlineStr">
        <is>
          <t>🛋️ Relaxed Pace v2 — Less-Touristy</t>
        </is>
      </c>
    </row>
    <row r="3" ht="22" customHeight="1">
      <c r="A3" s="27" t="inlineStr">
        <is>
          <t>Day 1 — Thu 28 May: Soft Arrival + Sunset</t>
        </is>
      </c>
    </row>
    <row r="4">
      <c r="A4" s="7" t="inlineStr">
        <is>
          <t>Time</t>
        </is>
      </c>
      <c r="B4" s="7" t="inlineStr">
        <is>
          <t>Activity</t>
        </is>
      </c>
      <c r="C4" s="7" t="inlineStr">
        <is>
          <t>From -&gt; To</t>
        </is>
      </c>
      <c r="D4" s="7" t="inlineStr">
        <is>
          <t>Dist (km)</t>
        </is>
      </c>
      <c r="E4" s="7" t="inlineStr">
        <is>
          <t>Travel (min)</t>
        </is>
      </c>
      <c r="F4" s="7" t="inlineStr">
        <is>
          <t>Cost (local)</t>
        </is>
      </c>
      <c r="G4" s="7" t="inlineStr">
        <is>
          <t>Cost (SGD)</t>
        </is>
      </c>
      <c r="H4" s="7" t="inlineStr">
        <is>
          <t>Notes</t>
        </is>
      </c>
      <c r="I4" s="7" t="inlineStr">
        <is>
          <t>✓</t>
        </is>
      </c>
    </row>
    <row r="5" ht="26" customHeight="1">
      <c r="A5" s="10" t="inlineStr">
        <is>
          <t>AM</t>
        </is>
      </c>
      <c r="B5" s="8" t="inlineStr">
        <is>
          <t>Arrive NAIA + Grab to Makati</t>
        </is>
      </c>
      <c r="C5" s="8" t="inlineStr">
        <is>
          <t>NAIA → Makati</t>
        </is>
      </c>
      <c r="D5" s="11" t="n">
        <v>8.5</v>
      </c>
      <c r="E5" s="12" t="n">
        <v>35</v>
      </c>
      <c r="F5" s="13" t="n">
        <v>350</v>
      </c>
      <c r="G5" s="14" t="n"/>
      <c r="H5" s="8" t="inlineStr"/>
      <c r="I5" s="10" t="inlineStr">
        <is>
          <t>☐</t>
        </is>
      </c>
    </row>
    <row r="6" ht="26" customHeight="1">
      <c r="A6" s="15" t="inlineStr">
        <is>
          <t>12:00</t>
        </is>
      </c>
      <c r="B6" s="3" t="inlineStr">
        <is>
          <t>Lazy lunch near hotel — Manam or Mesa</t>
        </is>
      </c>
      <c r="C6" s="3" t="inlineStr">
        <is>
          <t>Walk</t>
        </is>
      </c>
      <c r="D6" s="16" t="n"/>
      <c r="E6" s="17" t="n"/>
      <c r="F6" s="18" t="n">
        <v>500</v>
      </c>
      <c r="G6" s="19" t="n"/>
      <c r="H6" s="3" t="inlineStr"/>
      <c r="I6" s="15" t="inlineStr">
        <is>
          <t>☐</t>
        </is>
      </c>
    </row>
    <row r="7" ht="26" customHeight="1">
      <c r="A7" s="10" t="inlineStr">
        <is>
          <t>13:30</t>
        </is>
      </c>
      <c r="B7" s="8" t="inlineStr">
        <is>
          <t>Hotel pool / nap block</t>
        </is>
      </c>
      <c r="C7" s="8" t="inlineStr">
        <is>
          <t>Hotel</t>
        </is>
      </c>
      <c r="D7" s="11" t="n"/>
      <c r="E7" s="12" t="n">
        <v>150</v>
      </c>
      <c r="F7" s="13" t="n">
        <v>0</v>
      </c>
      <c r="G7" s="14" t="n"/>
      <c r="H7" s="8" t="inlineStr">
        <is>
          <t>Decompress</t>
        </is>
      </c>
      <c r="I7" s="10" t="inlineStr">
        <is>
          <t>☐</t>
        </is>
      </c>
    </row>
    <row r="8" ht="26" customHeight="1">
      <c r="A8" s="15" t="inlineStr">
        <is>
          <t>16:30</t>
        </is>
      </c>
      <c r="B8" s="3" t="inlineStr">
        <is>
          <t>Grab to Manila Baywalk for sunset only</t>
        </is>
      </c>
      <c r="C8" s="3" t="inlineStr">
        <is>
          <t>Makati → Baywalk</t>
        </is>
      </c>
      <c r="D8" s="16" t="n">
        <v>6.5</v>
      </c>
      <c r="E8" s="17" t="n">
        <v>25</v>
      </c>
      <c r="F8" s="18" t="n">
        <v>280</v>
      </c>
      <c r="G8" s="19" t="n"/>
      <c r="H8" s="3" t="inlineStr">
        <is>
          <t>Skip Intramuros today</t>
        </is>
      </c>
      <c r="I8" s="15" t="inlineStr">
        <is>
          <t>☐</t>
        </is>
      </c>
    </row>
    <row r="9" ht="26" customHeight="1">
      <c r="A9" s="10" t="inlineStr">
        <is>
          <t>19:00</t>
        </is>
      </c>
      <c r="B9" s="8" t="inlineStr">
        <is>
          <t>Dinner: Café Adriatico Malate (heritage)</t>
        </is>
      </c>
      <c r="C9" s="8" t="inlineStr">
        <is>
          <t>Walk Malate</t>
        </is>
      </c>
      <c r="D9" s="11" t="n">
        <v>0.6</v>
      </c>
      <c r="E9" s="12" t="n">
        <v>10</v>
      </c>
      <c r="F9" s="13" t="n">
        <v>700</v>
      </c>
      <c r="G9" s="14" t="n"/>
      <c r="H9" s="8" t="inlineStr"/>
      <c r="I9" s="10" t="inlineStr">
        <is>
          <t>☐</t>
        </is>
      </c>
    </row>
    <row r="10" ht="26" customHeight="1">
      <c r="A10" s="15" t="inlineStr">
        <is>
          <t>21:00</t>
        </is>
      </c>
      <c r="B10" s="3" t="inlineStr">
        <is>
          <t>Grab back; early night</t>
        </is>
      </c>
      <c r="C10" s="3" t="inlineStr">
        <is>
          <t>Malate → Makati</t>
        </is>
      </c>
      <c r="D10" s="16" t="n">
        <v>6</v>
      </c>
      <c r="E10" s="17" t="n">
        <v>25</v>
      </c>
      <c r="F10" s="18" t="n">
        <v>280</v>
      </c>
      <c r="G10" s="19" t="n"/>
      <c r="H10" s="3" t="inlineStr"/>
      <c r="I10" s="15" t="inlineStr">
        <is>
          <t>☐</t>
        </is>
      </c>
    </row>
    <row r="11">
      <c r="A11" s="20" t="inlineStr">
        <is>
          <t>Day total</t>
        </is>
      </c>
      <c r="B11" s="20" t="n"/>
      <c r="C11" s="20" t="n"/>
      <c r="D11" s="21">
        <f>SUM(D5:D10)</f>
        <v/>
      </c>
      <c r="E11" s="22">
        <f>SUM(E5:E10)</f>
        <v/>
      </c>
      <c r="F11" s="23">
        <f>SUM(F5:F10)</f>
        <v/>
      </c>
      <c r="G11" s="24">
        <f>SUM(G5:G10)</f>
        <v/>
      </c>
      <c r="H11" s="20" t="n"/>
      <c r="I11" s="25" t="n"/>
    </row>
    <row r="13" ht="22" customHeight="1">
      <c r="A13" s="27" t="inlineStr">
        <is>
          <t>Day 2 — Fri 29 May: Sunrise Intramuros + Slow Binondo</t>
        </is>
      </c>
    </row>
    <row r="14">
      <c r="A14" s="7" t="inlineStr">
        <is>
          <t>Time</t>
        </is>
      </c>
      <c r="B14" s="7" t="inlineStr">
        <is>
          <t>Activity</t>
        </is>
      </c>
      <c r="C14" s="7" t="inlineStr">
        <is>
          <t>From -&gt; To</t>
        </is>
      </c>
      <c r="D14" s="7" t="inlineStr">
        <is>
          <t>Dist (km)</t>
        </is>
      </c>
      <c r="E14" s="7" t="inlineStr">
        <is>
          <t>Travel (min)</t>
        </is>
      </c>
      <c r="F14" s="7" t="inlineStr">
        <is>
          <t>Cost (local)</t>
        </is>
      </c>
      <c r="G14" s="7" t="inlineStr">
        <is>
          <t>Cost (SGD)</t>
        </is>
      </c>
      <c r="H14" s="7" t="inlineStr">
        <is>
          <t>Notes</t>
        </is>
      </c>
      <c r="I14" s="7" t="inlineStr">
        <is>
          <t>✓</t>
        </is>
      </c>
    </row>
    <row r="15" ht="26" customHeight="1">
      <c r="A15" s="10" t="inlineStr">
        <is>
          <t>05:30</t>
        </is>
      </c>
      <c r="B15" s="8" t="inlineStr">
        <is>
          <t>Grab to Intramuros — empty walls at sunrise</t>
        </is>
      </c>
      <c r="C15" s="8" t="inlineStr">
        <is>
          <t>Makati → Intramuros</t>
        </is>
      </c>
      <c r="D15" s="11" t="n">
        <v>7.5</v>
      </c>
      <c r="E15" s="12" t="n">
        <v>18</v>
      </c>
      <c r="F15" s="13" t="n">
        <v>250</v>
      </c>
      <c r="G15" s="14" t="n"/>
      <c r="H15" s="8" t="inlineStr">
        <is>
          <t>No traffic; cool</t>
        </is>
      </c>
      <c r="I15" s="10" t="inlineStr">
        <is>
          <t>☐</t>
        </is>
      </c>
    </row>
    <row r="16" ht="26" customHeight="1">
      <c r="A16" s="15" t="inlineStr">
        <is>
          <t>06:00</t>
        </is>
      </c>
      <c r="B16" s="3" t="inlineStr">
        <is>
          <t>Walk walls + Fort Santiago perimeter (opens 08:00 — exterior only earlier)</t>
        </is>
      </c>
      <c r="C16" s="3" t="inlineStr">
        <is>
          <t>Intramuros</t>
        </is>
      </c>
      <c r="D16" s="16" t="n"/>
      <c r="E16" s="17" t="n">
        <v>90</v>
      </c>
      <c r="F16" s="18" t="n">
        <v>0</v>
      </c>
      <c r="G16" s="19" t="n"/>
      <c r="H16" s="3" t="inlineStr"/>
      <c r="I16" s="15" t="inlineStr">
        <is>
          <t>☐</t>
        </is>
      </c>
    </row>
    <row r="17" ht="26" customHeight="1">
      <c r="A17" s="10" t="inlineStr">
        <is>
          <t>08:00</t>
        </is>
      </c>
      <c r="B17" s="8" t="inlineStr">
        <is>
          <t>Fort Santiago + San Agustin</t>
        </is>
      </c>
      <c r="C17" s="8" t="inlineStr">
        <is>
          <t>Intramuros</t>
        </is>
      </c>
      <c r="D17" s="11" t="n"/>
      <c r="E17" s="12" t="n">
        <v>120</v>
      </c>
      <c r="F17" s="13" t="n">
        <v>275</v>
      </c>
      <c r="G17" s="14" t="n"/>
      <c r="H17" s="8" t="inlineStr"/>
      <c r="I17" s="10" t="inlineStr">
        <is>
          <t>☐</t>
        </is>
      </c>
    </row>
    <row r="18" ht="26" customHeight="1">
      <c r="A18" s="15" t="inlineStr">
        <is>
          <t>10:30</t>
        </is>
      </c>
      <c r="B18" s="3" t="inlineStr">
        <is>
          <t>Coffee + breakfast at Barbara's Heritage</t>
        </is>
      </c>
      <c r="C18" s="3" t="inlineStr">
        <is>
          <t>Intramuros</t>
        </is>
      </c>
      <c r="D18" s="16" t="n"/>
      <c r="E18" s="17" t="n"/>
      <c r="F18" s="18" t="n">
        <v>450</v>
      </c>
      <c r="G18" s="19" t="n"/>
      <c r="H18" s="3" t="inlineStr">
        <is>
          <t>Quiet AC break</t>
        </is>
      </c>
      <c r="I18" s="15" t="inlineStr">
        <is>
          <t>☐</t>
        </is>
      </c>
    </row>
    <row r="19" ht="26" customHeight="1">
      <c r="A19" s="10" t="inlineStr">
        <is>
          <t>12:00</t>
        </is>
      </c>
      <c r="B19" s="8" t="inlineStr">
        <is>
          <t>Walk to Binondo via Jones Bridge</t>
        </is>
      </c>
      <c r="C19" s="8" t="inlineStr">
        <is>
          <t>Walk</t>
        </is>
      </c>
      <c r="D19" s="11" t="n">
        <v>2</v>
      </c>
      <c r="E19" s="12" t="n">
        <v>25</v>
      </c>
      <c r="F19" s="13" t="n">
        <v>0</v>
      </c>
      <c r="G19" s="14" t="n"/>
      <c r="H19" s="8" t="inlineStr">
        <is>
          <t>Skip Quiapo crowds in v2</t>
        </is>
      </c>
      <c r="I19" s="10" t="inlineStr">
        <is>
          <t>☐</t>
        </is>
      </c>
    </row>
    <row r="20" ht="26" customHeight="1">
      <c r="A20" s="15" t="inlineStr">
        <is>
          <t>12:30</t>
        </is>
      </c>
      <c r="B20" s="3" t="inlineStr">
        <is>
          <t>Slow Binondo — self-paced (Wai Ying + Eng Bee Tin)</t>
        </is>
      </c>
      <c r="C20" s="3" t="inlineStr">
        <is>
          <t>Binondo walk</t>
        </is>
      </c>
      <c r="D20" s="16" t="n"/>
      <c r="E20" s="17" t="n">
        <v>120</v>
      </c>
      <c r="F20" s="18" t="n">
        <v>700</v>
      </c>
      <c r="G20" s="19" t="n"/>
      <c r="H20" s="3" t="inlineStr">
        <is>
          <t>Skip the group tour</t>
        </is>
      </c>
      <c r="I20" s="15" t="inlineStr">
        <is>
          <t>☐</t>
        </is>
      </c>
    </row>
    <row r="21" ht="26" customHeight="1">
      <c r="A21" s="10" t="inlineStr">
        <is>
          <t>15:00</t>
        </is>
      </c>
      <c r="B21" s="8" t="inlineStr">
        <is>
          <t>Grab back to Makati — rest block</t>
        </is>
      </c>
      <c r="C21" s="8" t="inlineStr">
        <is>
          <t>Binondo → Makati</t>
        </is>
      </c>
      <c r="D21" s="11" t="n">
        <v>8</v>
      </c>
      <c r="E21" s="12" t="n">
        <v>35</v>
      </c>
      <c r="F21" s="13" t="n">
        <v>350</v>
      </c>
      <c r="G21" s="14" t="n"/>
      <c r="H21" s="8" t="inlineStr"/>
      <c r="I21" s="10" t="inlineStr">
        <is>
          <t>☐</t>
        </is>
      </c>
    </row>
    <row r="22" ht="26" customHeight="1">
      <c r="A22" s="15" t="inlineStr">
        <is>
          <t>16:30</t>
        </is>
      </c>
      <c r="B22" s="3" t="inlineStr">
        <is>
          <t>Nuat Thai foot reflex 60min</t>
        </is>
      </c>
      <c r="C22" s="3" t="inlineStr">
        <is>
          <t>Walk</t>
        </is>
      </c>
      <c r="D22" s="16" t="n"/>
      <c r="E22" s="17" t="n">
        <v>60</v>
      </c>
      <c r="F22" s="18" t="n">
        <v>500</v>
      </c>
      <c r="G22" s="19" t="n"/>
      <c r="H22" s="3" t="inlineStr"/>
      <c r="I22" s="15" t="inlineStr">
        <is>
          <t>☐</t>
        </is>
      </c>
    </row>
    <row r="23" ht="26" customHeight="1">
      <c r="A23" s="10" t="inlineStr">
        <is>
          <t>19:30</t>
        </is>
      </c>
      <c r="B23" s="8" t="inlineStr">
        <is>
          <t>Dinner: Sentro 1771 (Greenbelt)</t>
        </is>
      </c>
      <c r="C23" s="8" t="inlineStr">
        <is>
          <t>Walk</t>
        </is>
      </c>
      <c r="D23" s="11" t="n"/>
      <c r="E23" s="12" t="n"/>
      <c r="F23" s="13" t="n">
        <v>800</v>
      </c>
      <c r="G23" s="14" t="n"/>
      <c r="H23" s="8" t="inlineStr"/>
      <c r="I23" s="10" t="inlineStr">
        <is>
          <t>☐</t>
        </is>
      </c>
    </row>
    <row r="24" ht="26" customHeight="1">
      <c r="A24" s="15" t="inlineStr">
        <is>
          <t>21:30</t>
        </is>
      </c>
      <c r="B24" s="3" t="inlineStr">
        <is>
          <t>Optional nightcap — skip if tired</t>
        </is>
      </c>
      <c r="C24" s="3" t="inlineStr"/>
      <c r="D24" s="16" t="n"/>
      <c r="E24" s="17" t="n"/>
      <c r="F24" s="18" t="n">
        <v>0</v>
      </c>
      <c r="G24" s="19" t="n"/>
      <c r="H24" s="3" t="inlineStr"/>
      <c r="I24" s="15" t="inlineStr">
        <is>
          <t>☐</t>
        </is>
      </c>
    </row>
    <row r="25">
      <c r="A25" s="20" t="inlineStr">
        <is>
          <t>Day total</t>
        </is>
      </c>
      <c r="B25" s="20" t="n"/>
      <c r="C25" s="20" t="n"/>
      <c r="D25" s="21">
        <f>SUM(D15:D24)</f>
        <v/>
      </c>
      <c r="E25" s="22">
        <f>SUM(E15:E24)</f>
        <v/>
      </c>
      <c r="F25" s="23">
        <f>SUM(F15:F24)</f>
        <v/>
      </c>
      <c r="G25" s="24">
        <f>SUM(G15:G24)</f>
        <v/>
      </c>
      <c r="H25" s="20" t="n"/>
      <c r="I25" s="25" t="n"/>
    </row>
    <row r="27" ht="22" customHeight="1">
      <c r="A27" s="27" t="inlineStr">
        <is>
          <t>Day 3 — Sat 30 May: Antipolo Art + Quiet Lunch (skip Tagaytay crowds)</t>
        </is>
      </c>
    </row>
    <row r="28">
      <c r="A28" s="7" t="inlineStr">
        <is>
          <t>Time</t>
        </is>
      </c>
      <c r="B28" s="7" t="inlineStr">
        <is>
          <t>Activity</t>
        </is>
      </c>
      <c r="C28" s="7" t="inlineStr">
        <is>
          <t>From -&gt; To</t>
        </is>
      </c>
      <c r="D28" s="7" t="inlineStr">
        <is>
          <t>Dist (km)</t>
        </is>
      </c>
      <c r="E28" s="7" t="inlineStr">
        <is>
          <t>Travel (min)</t>
        </is>
      </c>
      <c r="F28" s="7" t="inlineStr">
        <is>
          <t>Cost (local)</t>
        </is>
      </c>
      <c r="G28" s="7" t="inlineStr">
        <is>
          <t>Cost (SGD)</t>
        </is>
      </c>
      <c r="H28" s="7" t="inlineStr">
        <is>
          <t>Notes</t>
        </is>
      </c>
      <c r="I28" s="7" t="inlineStr">
        <is>
          <t>✓</t>
        </is>
      </c>
    </row>
    <row r="29" ht="26" customHeight="1">
      <c r="A29" s="10" t="inlineStr">
        <is>
          <t>09:00</t>
        </is>
      </c>
      <c r="B29" s="8" t="inlineStr">
        <is>
          <t>Late breakfast at hotel</t>
        </is>
      </c>
      <c r="C29" s="8" t="inlineStr">
        <is>
          <t>Hotel</t>
        </is>
      </c>
      <c r="D29" s="11" t="n"/>
      <c r="E29" s="12" t="n"/>
      <c r="F29" s="13" t="n">
        <v>0</v>
      </c>
      <c r="G29" s="14" t="n"/>
      <c r="H29" s="8" t="inlineStr"/>
      <c r="I29" s="10" t="inlineStr">
        <is>
          <t>☐</t>
        </is>
      </c>
    </row>
    <row r="30" ht="26" customHeight="1">
      <c r="A30" s="15" t="inlineStr">
        <is>
          <t>10:30</t>
        </is>
      </c>
      <c r="B30" s="3" t="inlineStr">
        <is>
          <t>Grab to Pinto Art Museum (Antipolo)</t>
        </is>
      </c>
      <c r="C30" s="3" t="inlineStr">
        <is>
          <t>Makati → Antipolo</t>
        </is>
      </c>
      <c r="D30" s="16" t="n">
        <v>28</v>
      </c>
      <c r="E30" s="17" t="n">
        <v>75</v>
      </c>
      <c r="F30" s="18" t="n">
        <v>850</v>
      </c>
      <c r="G30" s="19" t="n"/>
      <c r="H30" s="3" t="inlineStr">
        <is>
          <t>Less crowded than Tagaytay</t>
        </is>
      </c>
      <c r="I30" s="15" t="inlineStr">
        <is>
          <t>☐</t>
        </is>
      </c>
    </row>
    <row r="31" ht="26" customHeight="1">
      <c r="A31" s="10" t="inlineStr">
        <is>
          <t>12:00</t>
        </is>
      </c>
      <c r="B31" s="8" t="inlineStr">
        <is>
          <t>Pinto galleries + gardens + cafe lunch</t>
        </is>
      </c>
      <c r="C31" s="8" t="inlineStr">
        <is>
          <t>Within Pinto</t>
        </is>
      </c>
      <c r="D31" s="11" t="n"/>
      <c r="E31" s="12" t="n">
        <v>180</v>
      </c>
      <c r="F31" s="13" t="n">
        <v>1200</v>
      </c>
      <c r="G31" s="14" t="n"/>
      <c r="H31" s="8" t="inlineStr">
        <is>
          <t>Entry ₱250 + lunch</t>
        </is>
      </c>
      <c r="I31" s="10" t="inlineStr">
        <is>
          <t>☐</t>
        </is>
      </c>
    </row>
    <row r="32" ht="26" customHeight="1">
      <c r="A32" s="15" t="inlineStr">
        <is>
          <t>15:30</t>
        </is>
      </c>
      <c r="B32" s="3" t="inlineStr">
        <is>
          <t>Grab back to Makati</t>
        </is>
      </c>
      <c r="C32" s="3" t="inlineStr">
        <is>
          <t>Antipolo → Makati</t>
        </is>
      </c>
      <c r="D32" s="16" t="n">
        <v>28</v>
      </c>
      <c r="E32" s="17" t="n">
        <v>75</v>
      </c>
      <c r="F32" s="18" t="n">
        <v>850</v>
      </c>
      <c r="G32" s="19" t="n"/>
      <c r="H32" s="3" t="inlineStr"/>
      <c r="I32" s="15" t="inlineStr">
        <is>
          <t>☐</t>
        </is>
      </c>
    </row>
    <row r="33" ht="26" customHeight="1">
      <c r="A33" s="10" t="inlineStr">
        <is>
          <t>17:00</t>
        </is>
      </c>
      <c r="B33" s="8" t="inlineStr">
        <is>
          <t>Hotel rest / pool</t>
        </is>
      </c>
      <c r="C33" s="8" t="inlineStr">
        <is>
          <t>Hotel</t>
        </is>
      </c>
      <c r="D33" s="11" t="n"/>
      <c r="E33" s="12" t="n">
        <v>90</v>
      </c>
      <c r="F33" s="13" t="n">
        <v>0</v>
      </c>
      <c r="G33" s="14" t="n"/>
      <c r="H33" s="8" t="inlineStr"/>
      <c r="I33" s="10" t="inlineStr">
        <is>
          <t>☐</t>
        </is>
      </c>
    </row>
    <row r="34" ht="26" customHeight="1">
      <c r="A34" s="15" t="inlineStr">
        <is>
          <t>19:00</t>
        </is>
      </c>
      <c r="B34" s="3" t="inlineStr">
        <is>
          <t>Long ritual at The Spa BGC — 150min</t>
        </is>
      </c>
      <c r="C34" s="3" t="inlineStr">
        <is>
          <t>BGC</t>
        </is>
      </c>
      <c r="D34" s="16" t="n">
        <v>4</v>
      </c>
      <c r="E34" s="17" t="n">
        <v>18</v>
      </c>
      <c r="F34" s="18" t="n">
        <v>3200</v>
      </c>
      <c r="G34" s="19" t="n"/>
      <c r="H34" s="3" t="inlineStr">
        <is>
          <t>Single long session</t>
        </is>
      </c>
      <c r="I34" s="15" t="inlineStr">
        <is>
          <t>☐</t>
        </is>
      </c>
    </row>
    <row r="35" ht="26" customHeight="1">
      <c r="A35" s="10" t="inlineStr">
        <is>
          <t>22:00</t>
        </is>
      </c>
      <c r="B35" s="8" t="inlineStr">
        <is>
          <t>Light supper near hotel</t>
        </is>
      </c>
      <c r="C35" s="8" t="inlineStr">
        <is>
          <t>Walk</t>
        </is>
      </c>
      <c r="D35" s="11" t="n"/>
      <c r="E35" s="12" t="n"/>
      <c r="F35" s="13" t="n">
        <v>500</v>
      </c>
      <c r="G35" s="14" t="n"/>
      <c r="H35" s="8" t="inlineStr"/>
      <c r="I35" s="10" t="inlineStr">
        <is>
          <t>☐</t>
        </is>
      </c>
    </row>
    <row r="36">
      <c r="A36" s="20" t="inlineStr">
        <is>
          <t>Day total</t>
        </is>
      </c>
      <c r="B36" s="20" t="n"/>
      <c r="C36" s="20" t="n"/>
      <c r="D36" s="21">
        <f>SUM(D29:D35)</f>
        <v/>
      </c>
      <c r="E36" s="22">
        <f>SUM(E29:E35)</f>
        <v/>
      </c>
      <c r="F36" s="23">
        <f>SUM(F29:F35)</f>
        <v/>
      </c>
      <c r="G36" s="24">
        <f>SUM(G29:G35)</f>
        <v/>
      </c>
      <c r="H36" s="20" t="n"/>
      <c r="I36" s="25" t="n"/>
    </row>
    <row r="38" ht="22" customHeight="1">
      <c r="A38" s="27" t="inlineStr">
        <is>
          <t>Day 4 — Sun 31 May: Slow Makati + Optional BGC</t>
        </is>
      </c>
    </row>
    <row r="39">
      <c r="A39" s="7" t="inlineStr">
        <is>
          <t>Time</t>
        </is>
      </c>
      <c r="B39" s="7" t="inlineStr">
        <is>
          <t>Activity</t>
        </is>
      </c>
      <c r="C39" s="7" t="inlineStr">
        <is>
          <t>From -&gt; To</t>
        </is>
      </c>
      <c r="D39" s="7" t="inlineStr">
        <is>
          <t>Dist (km)</t>
        </is>
      </c>
      <c r="E39" s="7" t="inlineStr">
        <is>
          <t>Travel (min)</t>
        </is>
      </c>
      <c r="F39" s="7" t="inlineStr">
        <is>
          <t>Cost (local)</t>
        </is>
      </c>
      <c r="G39" s="7" t="inlineStr">
        <is>
          <t>Cost (SGD)</t>
        </is>
      </c>
      <c r="H39" s="7" t="inlineStr">
        <is>
          <t>Notes</t>
        </is>
      </c>
      <c r="I39" s="7" t="inlineStr">
        <is>
          <t>✓</t>
        </is>
      </c>
    </row>
    <row r="40" ht="26" customHeight="1">
      <c r="A40" s="10" t="inlineStr">
        <is>
          <t>09:00</t>
        </is>
      </c>
      <c r="B40" s="8" t="inlineStr">
        <is>
          <t>Legaspi Market wander</t>
        </is>
      </c>
      <c r="C40" s="8" t="inlineStr">
        <is>
          <t>Walk</t>
        </is>
      </c>
      <c r="D40" s="11" t="n"/>
      <c r="E40" s="12" t="n">
        <v>75</v>
      </c>
      <c r="F40" s="13" t="n">
        <v>500</v>
      </c>
      <c r="G40" s="14" t="n"/>
      <c r="H40" s="8" t="inlineStr"/>
      <c r="I40" s="10" t="inlineStr">
        <is>
          <t>☐</t>
        </is>
      </c>
    </row>
    <row r="41" ht="26" customHeight="1">
      <c r="A41" s="15" t="inlineStr">
        <is>
          <t>10:30</t>
        </is>
      </c>
      <c r="B41" s="3" t="inlineStr">
        <is>
          <t>Ayala Museum (no rush — 2.5hr)</t>
        </is>
      </c>
      <c r="C41" s="3" t="inlineStr">
        <is>
          <t>Walk</t>
        </is>
      </c>
      <c r="D41" s="16" t="n"/>
      <c r="E41" s="17" t="n">
        <v>150</v>
      </c>
      <c r="F41" s="18" t="n">
        <v>650</v>
      </c>
      <c r="G41" s="19" t="n"/>
      <c r="H41" s="3" t="inlineStr"/>
      <c r="I41" s="15" t="inlineStr">
        <is>
          <t>☐</t>
        </is>
      </c>
    </row>
    <row r="42" ht="26" customHeight="1">
      <c r="A42" s="10" t="inlineStr">
        <is>
          <t>13:30</t>
        </is>
      </c>
      <c r="B42" s="8" t="inlineStr">
        <is>
          <t>Long lunch: Toyo Eatery (book ahead) or Wildflour</t>
        </is>
      </c>
      <c r="C42" s="8" t="inlineStr">
        <is>
          <t>Karrivin/Makati</t>
        </is>
      </c>
      <c r="D42" s="11" t="n"/>
      <c r="E42" s="12" t="n">
        <v>150</v>
      </c>
      <c r="F42" s="13" t="n">
        <v>3000</v>
      </c>
      <c r="G42" s="14" t="n"/>
      <c r="H42" s="8" t="inlineStr"/>
      <c r="I42" s="10" t="inlineStr">
        <is>
          <t>☐</t>
        </is>
      </c>
    </row>
    <row r="43" ht="26" customHeight="1">
      <c r="A43" s="15" t="inlineStr">
        <is>
          <t>16:30</t>
        </is>
      </c>
      <c r="B43" s="3" t="inlineStr">
        <is>
          <t>Hotel pool / book / nap</t>
        </is>
      </c>
      <c r="C43" s="3" t="inlineStr">
        <is>
          <t>Hotel</t>
        </is>
      </c>
      <c r="D43" s="16" t="n"/>
      <c r="E43" s="17" t="n">
        <v>120</v>
      </c>
      <c r="F43" s="18" t="n">
        <v>0</v>
      </c>
      <c r="G43" s="19" t="n"/>
      <c r="H43" s="3" t="inlineStr"/>
      <c r="I43" s="15" t="inlineStr">
        <is>
          <t>☐</t>
        </is>
      </c>
    </row>
    <row r="44" ht="26" customHeight="1">
      <c r="A44" s="10" t="inlineStr">
        <is>
          <t>19:00</t>
        </is>
      </c>
      <c r="B44" s="8" t="inlineStr">
        <is>
          <t>BGC stroll — optional gallery / High Street</t>
        </is>
      </c>
      <c r="C44" s="8" t="inlineStr">
        <is>
          <t>BGC</t>
        </is>
      </c>
      <c r="D44" s="11" t="n">
        <v>4</v>
      </c>
      <c r="E44" s="12" t="n">
        <v>18</v>
      </c>
      <c r="F44" s="13" t="n">
        <v>200</v>
      </c>
      <c r="G44" s="14" t="n"/>
      <c r="H44" s="8" t="inlineStr">
        <is>
          <t>Skip if tired</t>
        </is>
      </c>
      <c r="I44" s="10" t="inlineStr">
        <is>
          <t>☐</t>
        </is>
      </c>
    </row>
    <row r="45" ht="26" customHeight="1">
      <c r="A45" s="15" t="inlineStr">
        <is>
          <t>20:30</t>
        </is>
      </c>
      <c r="B45" s="3" t="inlineStr">
        <is>
          <t>Dinner: Las Flores (Spanish, BGC) or Yardstick (lighter)</t>
        </is>
      </c>
      <c r="C45" s="3" t="inlineStr">
        <is>
          <t>BGC/Makati</t>
        </is>
      </c>
      <c r="D45" s="16" t="n"/>
      <c r="E45" s="17" t="n"/>
      <c r="F45" s="18" t="n">
        <v>1500</v>
      </c>
      <c r="G45" s="19" t="n"/>
      <c r="H45" s="3" t="inlineStr"/>
      <c r="I45" s="15" t="inlineStr">
        <is>
          <t>☐</t>
        </is>
      </c>
    </row>
    <row r="46">
      <c r="A46" s="20" t="inlineStr">
        <is>
          <t>Day total</t>
        </is>
      </c>
      <c r="B46" s="20" t="n"/>
      <c r="C46" s="20" t="n"/>
      <c r="D46" s="21">
        <f>SUM(D40:D45)</f>
        <v/>
      </c>
      <c r="E46" s="22">
        <f>SUM(E40:E45)</f>
        <v/>
      </c>
      <c r="F46" s="23">
        <f>SUM(F40:F45)</f>
        <v/>
      </c>
      <c r="G46" s="24">
        <f>SUM(G40:G45)</f>
        <v/>
      </c>
      <c r="H46" s="20" t="n"/>
      <c r="I46" s="25" t="n"/>
    </row>
    <row r="48" ht="22" customHeight="1">
      <c r="A48" s="27" t="inlineStr">
        <is>
          <t>Day 5 — Mon 01 Jun: Easy Departure</t>
        </is>
      </c>
    </row>
    <row r="49">
      <c r="A49" s="7" t="inlineStr">
        <is>
          <t>Time</t>
        </is>
      </c>
      <c r="B49" s="7" t="inlineStr">
        <is>
          <t>Activity</t>
        </is>
      </c>
      <c r="C49" s="7" t="inlineStr">
        <is>
          <t>From -&gt; To</t>
        </is>
      </c>
      <c r="D49" s="7" t="inlineStr">
        <is>
          <t>Dist (km)</t>
        </is>
      </c>
      <c r="E49" s="7" t="inlineStr">
        <is>
          <t>Travel (min)</t>
        </is>
      </c>
      <c r="F49" s="7" t="inlineStr">
        <is>
          <t>Cost (local)</t>
        </is>
      </c>
      <c r="G49" s="7" t="inlineStr">
        <is>
          <t>Cost (SGD)</t>
        </is>
      </c>
      <c r="H49" s="7" t="inlineStr">
        <is>
          <t>Notes</t>
        </is>
      </c>
      <c r="I49" s="7" t="inlineStr">
        <is>
          <t>✓</t>
        </is>
      </c>
    </row>
    <row r="50" ht="26" customHeight="1">
      <c r="A50" s="10" t="inlineStr">
        <is>
          <t>09:30</t>
        </is>
      </c>
      <c r="B50" s="8" t="inlineStr">
        <is>
          <t>Leisurely breakfast</t>
        </is>
      </c>
      <c r="C50" s="8" t="inlineStr">
        <is>
          <t>Hotel</t>
        </is>
      </c>
      <c r="D50" s="11" t="n"/>
      <c r="E50" s="12" t="n"/>
      <c r="F50" s="13" t="n">
        <v>0</v>
      </c>
      <c r="G50" s="14" t="n"/>
      <c r="H50" s="8" t="inlineStr"/>
      <c r="I50" s="10" t="inlineStr">
        <is>
          <t>☐</t>
        </is>
      </c>
    </row>
    <row r="51" ht="26" customHeight="1">
      <c r="A51" s="15" t="inlineStr">
        <is>
          <t>11:00</t>
        </is>
      </c>
      <c r="B51" s="3" t="inlineStr">
        <is>
          <t>Quick pasalubong stop — Kultura Greenbelt</t>
        </is>
      </c>
      <c r="C51" s="3" t="inlineStr">
        <is>
          <t>Walk</t>
        </is>
      </c>
      <c r="D51" s="16" t="n"/>
      <c r="E51" s="17" t="n">
        <v>60</v>
      </c>
      <c r="F51" s="18" t="n">
        <v>1200</v>
      </c>
      <c r="G51" s="19" t="n"/>
      <c r="H51" s="3" t="inlineStr"/>
      <c r="I51" s="15" t="inlineStr">
        <is>
          <t>☐</t>
        </is>
      </c>
    </row>
    <row r="52" ht="26" customHeight="1">
      <c r="A52" s="10" t="inlineStr">
        <is>
          <t>12:30</t>
        </is>
      </c>
      <c r="B52" s="8" t="inlineStr">
        <is>
          <t>Final lunch — Toyo or Manam</t>
        </is>
      </c>
      <c r="C52" s="8" t="inlineStr">
        <is>
          <t>Walk</t>
        </is>
      </c>
      <c r="D52" s="11" t="n"/>
      <c r="E52" s="12" t="n">
        <v>75</v>
      </c>
      <c r="F52" s="13" t="n">
        <v>700</v>
      </c>
      <c r="G52" s="14" t="n"/>
      <c r="H52" s="8" t="inlineStr"/>
      <c r="I52" s="10" t="inlineStr">
        <is>
          <t>☐</t>
        </is>
      </c>
    </row>
    <row r="53" ht="26" customHeight="1">
      <c r="A53" s="15" t="inlineStr">
        <is>
          <t>14:00</t>
        </is>
      </c>
      <c r="B53" s="3" t="inlineStr">
        <is>
          <t>Checkout + Grab NAIA (extra buffer)</t>
        </is>
      </c>
      <c r="C53" s="3" t="inlineStr">
        <is>
          <t>Makati → NAIA</t>
        </is>
      </c>
      <c r="D53" s="16" t="n">
        <v>8.5</v>
      </c>
      <c r="E53" s="17" t="n">
        <v>50</v>
      </c>
      <c r="F53" s="18" t="n">
        <v>400</v>
      </c>
      <c r="G53" s="19" t="n"/>
      <c r="H53" s="3" t="inlineStr">
        <is>
          <t>Allow 50min worst case</t>
        </is>
      </c>
      <c r="I53" s="15" t="inlineStr">
        <is>
          <t>☐</t>
        </is>
      </c>
    </row>
    <row r="54" ht="26" customHeight="1">
      <c r="A54" s="10" t="inlineStr">
        <is>
          <t>15:00+</t>
        </is>
      </c>
      <c r="B54" s="8" t="inlineStr">
        <is>
          <t>Arrive NAIA — relaxed check-in</t>
        </is>
      </c>
      <c r="C54" s="8" t="inlineStr"/>
      <c r="D54" s="11" t="n"/>
      <c r="E54" s="12" t="n"/>
      <c r="F54" s="13" t="n"/>
      <c r="G54" s="14" t="n"/>
      <c r="H54" s="8" t="inlineStr"/>
      <c r="I54" s="10" t="inlineStr">
        <is>
          <t>☐</t>
        </is>
      </c>
    </row>
    <row r="55">
      <c r="A55" s="20" t="inlineStr">
        <is>
          <t>Day total</t>
        </is>
      </c>
      <c r="B55" s="20" t="n"/>
      <c r="C55" s="20" t="n"/>
      <c r="D55" s="21">
        <f>SUM(D50:D54)</f>
        <v/>
      </c>
      <c r="E55" s="22">
        <f>SUM(E50:E54)</f>
        <v/>
      </c>
      <c r="F55" s="23">
        <f>SUM(F50:F54)</f>
        <v/>
      </c>
      <c r="G55" s="24">
        <f>SUM(G50:G54)</f>
        <v/>
      </c>
      <c r="H55" s="20" t="n"/>
      <c r="I55" s="25" t="n"/>
    </row>
  </sheetData>
  <mergeCells count="6">
    <mergeCell ref="A13:I13"/>
    <mergeCell ref="A1:I1"/>
    <mergeCell ref="A27:I27"/>
    <mergeCell ref="A3:I3"/>
    <mergeCell ref="A48:I48"/>
    <mergeCell ref="A38:I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38" customWidth="1" min="4" max="4"/>
    <col width="14" customWidth="1" min="5" max="5"/>
    <col width="22" customWidth="1" min="6" max="6"/>
  </cols>
  <sheetData>
    <row r="1" ht="24" customHeight="1">
      <c r="A1" s="28" t="inlineStr">
        <is>
          <t>🌧️ Bad Weather Plan B (v3) — Indoor / Sheltered Swaps</t>
        </is>
      </c>
    </row>
    <row r="2" ht="42" customHeight="1">
      <c r="A2" s="29" t="inlineStr">
        <is>
          <t>Late May–early June = transition from amihan (dry/cool) to habagat (SW monsoon). Manila prone to sudden afternoon thunderstorms + occasional early tropical depressions. Heat index can exceed 42°C midday. Indoor fallbacks mandatory.</t>
        </is>
      </c>
    </row>
    <row r="4" ht="20" customHeight="1">
      <c r="A4" s="30" t="inlineStr">
        <is>
          <t>🌦️ Morning Forecast Decision Tree</t>
        </is>
      </c>
    </row>
    <row r="5">
      <c r="A5" s="7" t="inlineStr">
        <is>
          <t>Condition</t>
        </is>
      </c>
      <c r="B5" s="7" t="inlineStr">
        <is>
          <t>Trigger</t>
        </is>
      </c>
      <c r="C5" s="7" t="inlineStr">
        <is>
          <t>Action</t>
        </is>
      </c>
      <c r="D5" s="7" t="inlineStr"/>
      <c r="E5" s="7" t="inlineStr"/>
      <c r="F5" s="7" t="inlineStr"/>
    </row>
    <row r="6" ht="36" customHeight="1">
      <c r="A6" s="8" t="inlineStr">
        <is>
          <t>Clear / partly cloudy (heat index &lt;38°C)</t>
        </is>
      </c>
      <c r="B6" s="8" t="inlineStr">
        <is>
          <t>PAGASA forecast clear</t>
        </is>
      </c>
      <c r="C6" s="8" t="inlineStr">
        <is>
          <t>Run v1 standard</t>
        </is>
      </c>
      <c r="D6" s="8" t="n"/>
      <c r="E6" s="8" t="n"/>
      <c r="F6" s="8" t="n"/>
    </row>
    <row r="7" ht="36" customHeight="1">
      <c r="A7" s="3" t="inlineStr">
        <is>
          <t>PM afternoon showers (typical habagat)</t>
        </is>
      </c>
      <c r="B7" s="3" t="inlineStr">
        <is>
          <t>Showers forecast 13:00-17:00</t>
        </is>
      </c>
      <c r="C7" s="3" t="inlineStr">
        <is>
          <t>Front-load outdoor AM, shift indoor museum/mall PM</t>
        </is>
      </c>
      <c r="D7" s="3" t="n"/>
      <c r="E7" s="3" t="n"/>
      <c r="F7" s="3" t="n"/>
    </row>
    <row r="8" ht="36" customHeight="1">
      <c r="A8" s="8" t="inlineStr">
        <is>
          <t>All-day moderate rain</t>
        </is>
      </c>
      <c r="B8" s="8" t="inlineStr">
        <is>
          <t>Yellow rainfall warning</t>
        </is>
      </c>
      <c r="C8" s="8" t="inlineStr">
        <is>
          <t>Activate v3 — indoor chain, skip Tagaytay/Corregidor</t>
        </is>
      </c>
      <c r="D8" s="8" t="n"/>
      <c r="E8" s="8" t="n"/>
      <c r="F8" s="8" t="n"/>
    </row>
    <row r="9" ht="36" customHeight="1">
      <c r="A9" s="3" t="inlineStr">
        <is>
          <t>Tropical storm / Signal No.1-2</t>
        </is>
      </c>
      <c r="B9" s="3" t="inlineStr">
        <is>
          <t>PAGASA TCWS-1/2</t>
        </is>
      </c>
      <c r="C9" s="3" t="inlineStr">
        <is>
          <t>Cancel all day-trips; stay Makati; cinema/spa/mall</t>
        </is>
      </c>
      <c r="D9" s="3" t="n"/>
      <c r="E9" s="3" t="n"/>
      <c r="F9" s="3" t="n"/>
    </row>
    <row r="10" ht="36" customHeight="1">
      <c r="A10" s="8" t="inlineStr">
        <is>
          <t>Typhoon / Signal No.3+</t>
        </is>
      </c>
      <c r="B10" s="8" t="inlineStr">
        <is>
          <t>PAGASA TCWS-3+</t>
        </is>
      </c>
      <c r="C10" s="8" t="inlineStr">
        <is>
          <t>Stay in hotel; assume flight cancellation; extend booking; insurance claim</t>
        </is>
      </c>
      <c r="D10" s="8" t="n"/>
      <c r="E10" s="8" t="n"/>
      <c r="F10" s="8" t="n"/>
    </row>
    <row r="12" ht="20" customHeight="1">
      <c r="A12" s="30" t="inlineStr">
        <is>
          <t>🔄 Per-Day Bad-Weather Swaps</t>
        </is>
      </c>
    </row>
    <row r="13">
      <c r="A13" s="31" t="inlineStr">
        <is>
          <t>Day 1 — Thu 28 May</t>
        </is>
      </c>
    </row>
    <row r="14">
      <c r="A14" s="7" t="inlineStr">
        <is>
          <t>Original item</t>
        </is>
      </c>
      <c r="B14" s="7" t="inlineStr">
        <is>
          <t>Why at risk</t>
        </is>
      </c>
      <c r="C14" s="7" t="inlineStr">
        <is>
          <t>Trigger</t>
        </is>
      </c>
      <c r="D14" s="7" t="inlineStr">
        <is>
          <t>Plan-B action</t>
        </is>
      </c>
      <c r="E14" s="7" t="inlineStr">
        <is>
          <t>Alt PHP</t>
        </is>
      </c>
      <c r="F14" s="7" t="inlineStr">
        <is>
          <t>Channel</t>
        </is>
      </c>
    </row>
    <row r="15" ht="40" customHeight="1">
      <c r="A15" s="8" t="inlineStr">
        <is>
          <t>Intramuros walking (PM)</t>
        </is>
      </c>
      <c r="B15" s="8" t="inlineStr">
        <is>
          <t>Open cobblestone, no cover except churches</t>
        </is>
      </c>
      <c r="C15" s="8" t="inlineStr">
        <is>
          <t>Any rain</t>
        </is>
      </c>
      <c r="D15" s="8" t="inlineStr">
        <is>
          <t>Skip outdoor; do Casa Manila + San Agustin Museum (covered) only, OR move to Day 2 sunrise.</t>
        </is>
      </c>
      <c r="E15" s="32" t="n">
        <v>275</v>
      </c>
      <c r="F15" s="8" t="inlineStr">
        <is>
          <t>Self-walk</t>
        </is>
      </c>
    </row>
    <row r="16" ht="40" customHeight="1">
      <c r="A16" s="3" t="inlineStr">
        <is>
          <t>Manila Baywalk sunset</t>
        </is>
      </c>
      <c r="B16" s="3" t="inlineStr">
        <is>
          <t>Fully open seafront</t>
        </is>
      </c>
      <c r="C16" s="3" t="inlineStr">
        <is>
          <t>Mod rain</t>
        </is>
      </c>
      <c r="D16" s="3" t="inlineStr">
        <is>
          <t>Substitute Sky Deck Bayleaf (covered rooftop, Intramuros views) OR hotel rooftop bar.</t>
        </is>
      </c>
      <c r="E16" s="33" t="n">
        <v>600</v>
      </c>
      <c r="F16" s="3" t="inlineStr">
        <is>
          <t>Bayleaf Hotel walk-in</t>
        </is>
      </c>
    </row>
    <row r="17" ht="40" customHeight="1">
      <c r="A17" s="8" t="inlineStr">
        <is>
          <t>Aristocrat dinner</t>
        </is>
      </c>
      <c r="B17" s="8" t="inlineStr">
        <is>
          <t>Indoor — OK in light rain</t>
        </is>
      </c>
      <c r="C17" s="8" t="inlineStr">
        <is>
          <t>Heavy rain</t>
        </is>
      </c>
      <c r="D17" s="8" t="inlineStr">
        <is>
          <t>Stay Makati: Romulo Café / Manam Greenbelt (covered access).</t>
        </is>
      </c>
      <c r="E17" s="32" t="n">
        <v>700</v>
      </c>
      <c r="F17" s="8" t="inlineStr">
        <is>
          <t>Walk via covered walkway</t>
        </is>
      </c>
    </row>
    <row r="19">
      <c r="A19" s="31" t="inlineStr">
        <is>
          <t>Day 2 — Fri 29 May</t>
        </is>
      </c>
    </row>
    <row r="20">
      <c r="A20" s="7" t="inlineStr">
        <is>
          <t>Original item</t>
        </is>
      </c>
      <c r="B20" s="7" t="inlineStr">
        <is>
          <t>Why at risk</t>
        </is>
      </c>
      <c r="C20" s="7" t="inlineStr">
        <is>
          <t>Trigger</t>
        </is>
      </c>
      <c r="D20" s="7" t="inlineStr">
        <is>
          <t>Plan-B action</t>
        </is>
      </c>
      <c r="E20" s="7" t="inlineStr">
        <is>
          <t>Alt PHP</t>
        </is>
      </c>
      <c r="F20" s="7" t="inlineStr">
        <is>
          <t>Channel</t>
        </is>
      </c>
    </row>
    <row r="21" ht="40" customHeight="1">
      <c r="A21" s="8" t="inlineStr">
        <is>
          <t>Binondo food crawl (walking)</t>
        </is>
      </c>
      <c r="B21" s="8" t="inlineStr">
        <is>
          <t>Outdoor walking between stalls</t>
        </is>
      </c>
      <c r="C21" s="8" t="inlineStr">
        <is>
          <t>Mod rain</t>
        </is>
      </c>
      <c r="D21" s="8" t="inlineStr">
        <is>
          <t>Crawl uses covered shophouses — proceed with umbrella. Skip Quiapo (open plaza).</t>
        </is>
      </c>
      <c r="E21" s="32" t="n">
        <v>1500</v>
      </c>
      <c r="F21" s="8" t="inlineStr">
        <is>
          <t>Old Manila Walks</t>
        </is>
      </c>
    </row>
    <row r="22" ht="40" customHeight="1">
      <c r="A22" s="3" t="inlineStr">
        <is>
          <t>Quiapo Church + Hidalgo St</t>
        </is>
      </c>
      <c r="B22" s="3" t="inlineStr">
        <is>
          <t>Open plaza + flooded streets</t>
        </is>
      </c>
      <c r="C22" s="3" t="inlineStr">
        <is>
          <t>Mod-Heavy rain</t>
        </is>
      </c>
      <c r="D22" s="3" t="inlineStr">
        <is>
          <t>SKIP — Quiapo floods at 30mm+ rain. Substitute Bahay Tsinoy (Intramuros) AC museum.</t>
        </is>
      </c>
      <c r="E22" s="33" t="n">
        <v>200</v>
      </c>
      <c r="F22" s="3" t="inlineStr">
        <is>
          <t>Self-walk</t>
        </is>
      </c>
    </row>
    <row r="23" ht="40" customHeight="1">
      <c r="A23" s="8" t="inlineStr">
        <is>
          <t>Escolta heritage walk</t>
        </is>
      </c>
      <c r="B23" s="8" t="inlineStr">
        <is>
          <t>Outdoor street walk</t>
        </is>
      </c>
      <c r="C23" s="8" t="inlineStr">
        <is>
          <t>Heavy rain</t>
        </is>
      </c>
      <c r="D23" s="8" t="inlineStr">
        <is>
          <t>Lucky Chinatown Mall (covered) for refuge; reschedule Escolta to Day 4.</t>
        </is>
      </c>
      <c r="E23" s="32" t="n"/>
      <c r="F23" s="8" t="inlineStr">
        <is>
          <t>Mall</t>
        </is>
      </c>
    </row>
    <row r="24" ht="40" customHeight="1">
      <c r="A24" s="3" t="inlineStr">
        <is>
          <t>Poblacion crawl</t>
        </is>
      </c>
      <c r="B24" s="3" t="inlineStr">
        <is>
          <t>Walking between bars</t>
        </is>
      </c>
      <c r="C24" s="3" t="inlineStr">
        <is>
          <t>Any rain</t>
        </is>
      </c>
      <c r="D24" s="3" t="inlineStr">
        <is>
          <t>Pick ONE indoor bar (The Curator speakeasy, Bank Bar) instead of crawl.</t>
        </is>
      </c>
      <c r="E24" s="33" t="n">
        <v>600</v>
      </c>
      <c r="F24" s="3" t="inlineStr">
        <is>
          <t>Reservation</t>
        </is>
      </c>
    </row>
    <row r="26">
      <c r="A26" s="31" t="inlineStr">
        <is>
          <t>Day 3 — Sat 30 May</t>
        </is>
      </c>
    </row>
    <row r="27">
      <c r="A27" s="7" t="inlineStr">
        <is>
          <t>Original item</t>
        </is>
      </c>
      <c r="B27" s="7" t="inlineStr">
        <is>
          <t>Why at risk</t>
        </is>
      </c>
      <c r="C27" s="7" t="inlineStr">
        <is>
          <t>Trigger</t>
        </is>
      </c>
      <c r="D27" s="7" t="inlineStr">
        <is>
          <t>Plan-B action</t>
        </is>
      </c>
      <c r="E27" s="7" t="inlineStr">
        <is>
          <t>Alt PHP</t>
        </is>
      </c>
      <c r="F27" s="7" t="inlineStr">
        <is>
          <t>Channel</t>
        </is>
      </c>
    </row>
    <row r="28" ht="40" customHeight="1">
      <c r="A28" s="8" t="inlineStr">
        <is>
          <t>Tagaytay day trip</t>
        </is>
      </c>
      <c r="B28" s="8" t="inlineStr">
        <is>
          <t>Long mountain drive + outdoor viewpoints; Taal lake view = ZERO in rain</t>
        </is>
      </c>
      <c r="C28" s="8" t="inlineStr">
        <is>
          <t>Mod rain or worse</t>
        </is>
      </c>
      <c r="D28" s="8" t="inlineStr">
        <is>
          <t>CANCEL Tagaytay. SUBSTITUTE: Pinto Art Museum (Antipolo, mostly covered) OR full-day mall+museum chain.</t>
        </is>
      </c>
      <c r="E28" s="32" t="n">
        <v>250</v>
      </c>
      <c r="F28" s="8" t="inlineStr">
        <is>
          <t>Klook refund if 24hr</t>
        </is>
      </c>
    </row>
    <row r="29" ht="40" customHeight="1">
      <c r="A29" s="3" t="inlineStr">
        <is>
          <t>Tagaytay (storm)</t>
        </is>
      </c>
      <c r="B29" s="3" t="inlineStr">
        <is>
          <t>Aguinaldo Hwy lands floods + visibility nil</t>
        </is>
      </c>
      <c r="C29" s="3" t="inlineStr">
        <is>
          <t>Tropical storm signal 1+</t>
        </is>
      </c>
      <c r="D29" s="3" t="inlineStr">
        <is>
          <t>STAY MAKATI. National Museum complex (FREE, AC, 3-4hr) + spa marathon.</t>
        </is>
      </c>
      <c r="E29" s="33" t="n"/>
      <c r="F29" s="3" t="inlineStr">
        <is>
          <t>Walk-in</t>
        </is>
      </c>
    </row>
    <row r="30" ht="40" customHeight="1">
      <c r="A30" s="8" t="inlineStr">
        <is>
          <t>Taal volcano boat</t>
        </is>
      </c>
      <c r="B30" s="8" t="inlineStr">
        <is>
          <t>Open lake</t>
        </is>
      </c>
      <c r="C30" s="8" t="inlineStr">
        <is>
          <t>Wind &gt;40km/h OR PHIVOLCS Alert 2+</t>
        </is>
      </c>
      <c r="D30" s="8" t="inlineStr">
        <is>
          <t>CANCEL — boat ops suspended. Refund via operator.</t>
        </is>
      </c>
      <c r="E30" s="32" t="n"/>
      <c r="F30" s="8" t="inlineStr">
        <is>
          <t>Operator refund</t>
        </is>
      </c>
    </row>
    <row r="32">
      <c r="A32" s="31" t="inlineStr">
        <is>
          <t>Day 4 — Sun 31 May</t>
        </is>
      </c>
    </row>
    <row r="33">
      <c r="A33" s="7" t="inlineStr">
        <is>
          <t>Original item</t>
        </is>
      </c>
      <c r="B33" s="7" t="inlineStr">
        <is>
          <t>Why at risk</t>
        </is>
      </c>
      <c r="C33" s="7" t="inlineStr">
        <is>
          <t>Trigger</t>
        </is>
      </c>
      <c r="D33" s="7" t="inlineStr">
        <is>
          <t>Plan-B action</t>
        </is>
      </c>
      <c r="E33" s="7" t="inlineStr">
        <is>
          <t>Alt PHP</t>
        </is>
      </c>
      <c r="F33" s="7" t="inlineStr">
        <is>
          <t>Channel</t>
        </is>
      </c>
    </row>
    <row r="34" ht="40" customHeight="1">
      <c r="A34" s="8" t="inlineStr">
        <is>
          <t>Legaspi Sunday Market</t>
        </is>
      </c>
      <c r="B34" s="8" t="inlineStr">
        <is>
          <t>Outdoor market</t>
        </is>
      </c>
      <c r="C34" s="8" t="inlineStr">
        <is>
          <t>Any rain</t>
        </is>
      </c>
      <c r="D34" s="8" t="inlineStr">
        <is>
          <t>Market runs in light rain (tarps); heavy rain — vendors close. Substitute: hotel breakfast + Wildflour Salcedo.</t>
        </is>
      </c>
      <c r="E34" s="32" t="n">
        <v>400</v>
      </c>
      <c r="F34" s="8" t="inlineStr">
        <is>
          <t>Walk-in</t>
        </is>
      </c>
    </row>
    <row r="35" ht="40" customHeight="1">
      <c r="A35" s="3" t="inlineStr">
        <is>
          <t>Ayala Museum</t>
        </is>
      </c>
      <c r="B35" s="3" t="inlineStr">
        <is>
          <t>Fully indoor AC</t>
        </is>
      </c>
      <c r="C35" s="3" t="inlineStr">
        <is>
          <t>Any</t>
        </is>
      </c>
      <c r="D35" s="3" t="inlineStr">
        <is>
          <t>ALREADY INDOOR ✅ — keep as primary. Extend to 3hr if rain continues.</t>
        </is>
      </c>
      <c r="E35" s="33" t="n">
        <v>650</v>
      </c>
      <c r="F35" s="3" t="inlineStr">
        <is>
          <t>Walk-in</t>
        </is>
      </c>
    </row>
    <row r="36" ht="40" customHeight="1">
      <c r="A36" s="8" t="inlineStr">
        <is>
          <t>BGC street art walk</t>
        </is>
      </c>
      <c r="B36" s="8" t="inlineStr">
        <is>
          <t>Outdoor walking</t>
        </is>
      </c>
      <c r="C36" s="8" t="inlineStr">
        <is>
          <t>Mod rain</t>
        </is>
      </c>
      <c r="D36" s="8" t="inlineStr">
        <is>
          <t>SKIP. Substitute: Mind Museum BGC (indoor, ₱750, 2hr) + Bonifacio High Street covered walkways.</t>
        </is>
      </c>
      <c r="E36" s="32" t="n">
        <v>750</v>
      </c>
      <c r="F36" s="8" t="inlineStr">
        <is>
          <t>Walk-in</t>
        </is>
      </c>
    </row>
    <row r="37" ht="40" customHeight="1">
      <c r="A37" s="3" t="inlineStr">
        <is>
          <t>Toyo Eatery dinner (booked)</t>
        </is>
      </c>
      <c r="B37" s="3" t="inlineStr">
        <is>
          <t>Indoor restaurant</t>
        </is>
      </c>
      <c r="C37" s="3" t="inlineStr">
        <is>
          <t>Any</t>
        </is>
      </c>
      <c r="D37" s="3" t="inlineStr">
        <is>
          <t>ALREADY INDOOR ✅ — Grab to Karrivin. Allow extra time for traffic.</t>
        </is>
      </c>
      <c r="E37" s="33" t="n">
        <v>3500</v>
      </c>
      <c r="F37" s="3" t="inlineStr">
        <is>
          <t>Reservation</t>
        </is>
      </c>
    </row>
    <row r="39">
      <c r="A39" s="31" t="inlineStr">
        <is>
          <t>Day 5 — Mon 01 Jun</t>
        </is>
      </c>
    </row>
    <row r="40">
      <c r="A40" s="7" t="inlineStr">
        <is>
          <t>Original item</t>
        </is>
      </c>
      <c r="B40" s="7" t="inlineStr">
        <is>
          <t>Why at risk</t>
        </is>
      </c>
      <c r="C40" s="7" t="inlineStr">
        <is>
          <t>Trigger</t>
        </is>
      </c>
      <c r="D40" s="7" t="inlineStr">
        <is>
          <t>Plan-B action</t>
        </is>
      </c>
      <c r="E40" s="7" t="inlineStr">
        <is>
          <t>Alt PHP</t>
        </is>
      </c>
      <c r="F40" s="7" t="inlineStr">
        <is>
          <t>Channel</t>
        </is>
      </c>
    </row>
    <row r="41" ht="40" customHeight="1">
      <c r="A41" s="8" t="inlineStr">
        <is>
          <t>Pasalubong run + final lunch</t>
        </is>
      </c>
      <c r="B41" s="8" t="inlineStr">
        <is>
          <t>Mostly indoor malls</t>
        </is>
      </c>
      <c r="C41" s="8" t="inlineStr">
        <is>
          <t>Any</t>
        </is>
      </c>
      <c r="D41" s="8" t="inlineStr">
        <is>
          <t>✅ Already indoor — Greenbelt + SM Aura. Skip outdoor stops.</t>
        </is>
      </c>
      <c r="E41" s="32" t="n">
        <v>1500</v>
      </c>
      <c r="F41" s="8" t="inlineStr">
        <is>
          <t>Mall</t>
        </is>
      </c>
    </row>
    <row r="42" ht="40" customHeight="1">
      <c r="A42" s="3" t="inlineStr">
        <is>
          <t>Grab to NAIA</t>
        </is>
      </c>
      <c r="B42" s="3" t="inlineStr">
        <is>
          <t>EDSA floods + traffic doubles</t>
        </is>
      </c>
      <c r="C42" s="3" t="inlineStr">
        <is>
          <t>Heavy rain</t>
        </is>
      </c>
      <c r="D42" s="3" t="inlineStr">
        <is>
          <t>Leave Makati 3hr before flight (vs 2hr). Use Skyway not EDSA. Have Grab Plus / 6-seater backup.</t>
        </is>
      </c>
      <c r="E42" s="33" t="n">
        <v>600</v>
      </c>
      <c r="F42" s="3" t="inlineStr">
        <is>
          <t>Grab</t>
        </is>
      </c>
    </row>
    <row r="43" ht="40" customHeight="1">
      <c r="A43" s="8" t="inlineStr">
        <is>
          <t>Flight departure</t>
        </is>
      </c>
      <c r="B43" s="8" t="inlineStr">
        <is>
          <t>Domestic flights cancel at PAGASA Signal 2+ near track</t>
        </is>
      </c>
      <c r="C43" s="8" t="inlineStr">
        <is>
          <t>Typhoon signal 2+</t>
        </is>
      </c>
      <c r="D43" s="8" t="inlineStr">
        <is>
          <t>Cebu Pacific / PAL waive rebook fee during published advisories. Check carrier app + Twitter. Extend hotel free-cancel rate if delayed.</t>
        </is>
      </c>
      <c r="E43" s="32" t="n"/>
      <c r="F43" s="8" t="inlineStr">
        <is>
          <t>Carrier app</t>
        </is>
      </c>
    </row>
    <row r="46" ht="20" customHeight="1">
      <c r="A46" s="30" t="inlineStr">
        <is>
          <t>🏠 Indoor Activity Bank</t>
        </is>
      </c>
    </row>
    <row r="47">
      <c r="A47" s="7" t="inlineStr">
        <is>
          <t>Activity</t>
        </is>
      </c>
      <c r="B47" s="7" t="inlineStr">
        <is>
          <t>Area</t>
        </is>
      </c>
      <c r="C47" s="7" t="inlineStr">
        <is>
          <t>PHP</t>
        </is>
      </c>
      <c r="D47" s="7" t="inlineStr">
        <is>
          <t>Duration</t>
        </is>
      </c>
      <c r="E47" s="7" t="inlineStr">
        <is>
          <t>Notes</t>
        </is>
      </c>
      <c r="F47" s="7" t="inlineStr"/>
    </row>
    <row r="48" ht="28" customHeight="1">
      <c r="A48" s="8" t="inlineStr">
        <is>
          <t>Ayala Museum</t>
        </is>
      </c>
      <c r="B48" s="8" t="inlineStr">
        <is>
          <t>Makati</t>
        </is>
      </c>
      <c r="C48" s="34" t="n">
        <v>650</v>
      </c>
      <c r="D48" s="8" t="inlineStr">
        <is>
          <t>2.5-3hr</t>
        </is>
      </c>
      <c r="E48" s="8" t="inlineStr">
        <is>
          <t>Gold gallery + Diorama</t>
        </is>
      </c>
      <c r="F48" s="8" t="n"/>
    </row>
    <row r="49" ht="28" customHeight="1">
      <c r="A49" s="3" t="inlineStr">
        <is>
          <t>National Museum complex (Fine Arts / Anthro / Natural Hist)</t>
        </is>
      </c>
      <c r="B49" s="3" t="inlineStr">
        <is>
          <t>Ermita</t>
        </is>
      </c>
      <c r="C49" s="35" t="n">
        <v>0</v>
      </c>
      <c r="D49" s="3" t="inlineStr">
        <is>
          <t>3-4hr</t>
        </is>
      </c>
      <c r="E49" s="3" t="inlineStr">
        <is>
          <t>FREE; 3 buildings</t>
        </is>
      </c>
      <c r="F49" s="3" t="n"/>
    </row>
    <row r="50" ht="28" customHeight="1">
      <c r="A50" s="8" t="inlineStr">
        <is>
          <t>Mind Museum BGC</t>
        </is>
      </c>
      <c r="B50" s="8" t="inlineStr">
        <is>
          <t>BGC</t>
        </is>
      </c>
      <c r="C50" s="34" t="n">
        <v>750</v>
      </c>
      <c r="D50" s="8" t="inlineStr">
        <is>
          <t>2hr</t>
        </is>
      </c>
      <c r="E50" s="8" t="inlineStr">
        <is>
          <t>Kid-friendly</t>
        </is>
      </c>
      <c r="F50" s="8" t="n"/>
    </row>
    <row r="51" ht="28" customHeight="1">
      <c r="A51" s="3" t="inlineStr">
        <is>
          <t>Greenbelt 5 cinema</t>
        </is>
      </c>
      <c r="B51" s="3" t="inlineStr">
        <is>
          <t>Makati</t>
        </is>
      </c>
      <c r="C51" s="35" t="n">
        <v>400</v>
      </c>
      <c r="D51" s="3" t="inlineStr">
        <is>
          <t>2hr</t>
        </is>
      </c>
      <c r="E51" s="3" t="inlineStr"/>
      <c r="F51" s="3" t="n"/>
    </row>
    <row r="52" ht="28" customHeight="1">
      <c r="A52" s="8" t="inlineStr">
        <is>
          <t>SM Aura / Power Plant Mall / Glorietta covered chain</t>
        </is>
      </c>
      <c r="B52" s="8" t="inlineStr">
        <is>
          <t>Makati/BGC</t>
        </is>
      </c>
      <c r="C52" s="34" t="n">
        <v>0</v>
      </c>
      <c r="D52" s="8" t="inlineStr">
        <is>
          <t>flex</t>
        </is>
      </c>
      <c r="E52" s="8" t="inlineStr">
        <is>
          <t>Connected covered walkways</t>
        </is>
      </c>
      <c r="F52" s="8" t="n"/>
    </row>
    <row r="53" ht="28" customHeight="1">
      <c r="A53" s="3" t="inlineStr">
        <is>
          <t>The Spa BGC — 150min ritual</t>
        </is>
      </c>
      <c r="B53" s="3" t="inlineStr">
        <is>
          <t>BGC</t>
        </is>
      </c>
      <c r="C53" s="35" t="n">
        <v>3200</v>
      </c>
      <c r="D53" s="3" t="inlineStr">
        <is>
          <t>2.5hr</t>
        </is>
      </c>
      <c r="E53" s="3" t="inlineStr">
        <is>
          <t>Long-form spa</t>
        </is>
      </c>
      <c r="F53" s="3" t="n"/>
    </row>
    <row r="54" ht="28" customHeight="1">
      <c r="A54" s="8" t="inlineStr">
        <is>
          <t>Bahay Tsinoy (Chinese-Filipino museum)</t>
        </is>
      </c>
      <c r="B54" s="8" t="inlineStr">
        <is>
          <t>Intramuros</t>
        </is>
      </c>
      <c r="C54" s="34" t="n">
        <v>200</v>
      </c>
      <c r="D54" s="8" t="inlineStr">
        <is>
          <t>1.5hr</t>
        </is>
      </c>
      <c r="E54" s="8" t="inlineStr">
        <is>
          <t>AC indoor</t>
        </is>
      </c>
      <c r="F54" s="8" t="n"/>
    </row>
    <row r="55" ht="28" customHeight="1">
      <c r="A55" s="3" t="inlineStr">
        <is>
          <t>Lucky Chinatown Mall</t>
        </is>
      </c>
      <c r="B55" s="3" t="inlineStr">
        <is>
          <t>Binondo</t>
        </is>
      </c>
      <c r="C55" s="35" t="n">
        <v>0</v>
      </c>
      <c r="D55" s="3" t="inlineStr">
        <is>
          <t>flex</t>
        </is>
      </c>
      <c r="E55" s="3" t="inlineStr">
        <is>
          <t>Refuge during Binondo crawl</t>
        </is>
      </c>
      <c r="F55" s="3" t="n"/>
    </row>
    <row r="56" ht="28" customHeight="1">
      <c r="A56" s="8" t="inlineStr">
        <is>
          <t>Pinto Art Museum (Antipolo)</t>
        </is>
      </c>
      <c r="B56" s="8" t="inlineStr">
        <is>
          <t>Antipolo</t>
        </is>
      </c>
      <c r="C56" s="34" t="n">
        <v>250</v>
      </c>
      <c r="D56" s="8" t="inlineStr">
        <is>
          <t>3hr+lunch</t>
        </is>
      </c>
      <c r="E56" s="8" t="inlineStr">
        <is>
          <t>Mostly covered galleries</t>
        </is>
      </c>
      <c r="F56" s="8" t="n"/>
    </row>
    <row r="57" ht="28" customHeight="1">
      <c r="A57" s="3" t="inlineStr">
        <is>
          <t>Lotte Cinema Greenbelt / Power Plant</t>
        </is>
      </c>
      <c r="B57" s="3" t="inlineStr">
        <is>
          <t>Makati</t>
        </is>
      </c>
      <c r="C57" s="35" t="n">
        <v>400</v>
      </c>
      <c r="D57" s="3" t="inlineStr">
        <is>
          <t>2hr</t>
        </is>
      </c>
      <c r="E57" s="3" t="inlineStr">
        <is>
          <t>English Hollywood + local films</t>
        </is>
      </c>
      <c r="F57" s="3" t="n"/>
    </row>
    <row r="58" ht="28" customHeight="1">
      <c r="A58" s="8" t="inlineStr">
        <is>
          <t>SM Mall of Asia (MOA)</t>
        </is>
      </c>
      <c r="B58" s="8" t="inlineStr">
        <is>
          <t>Pasay (~7km W)</t>
        </is>
      </c>
      <c r="C58" s="34" t="n">
        <v>0</v>
      </c>
      <c r="D58" s="8" t="inlineStr">
        <is>
          <t>flex</t>
        </is>
      </c>
      <c r="E58" s="8" t="inlineStr">
        <is>
          <t>Largest mall — cinema, aquarium, ice rink</t>
        </is>
      </c>
      <c r="F58" s="8" t="n"/>
    </row>
    <row r="59" ht="28" customHeight="1">
      <c r="A59" s="3" t="inlineStr">
        <is>
          <t>Manila Ocean Park</t>
        </is>
      </c>
      <c r="B59" s="3" t="inlineStr">
        <is>
          <t>Ermita</t>
        </is>
      </c>
      <c r="C59" s="35" t="n">
        <v>800</v>
      </c>
      <c r="D59" s="3" t="inlineStr">
        <is>
          <t>3hr</t>
        </is>
      </c>
      <c r="E59" s="3" t="inlineStr">
        <is>
          <t>Indoor aquarium — kid-friendly rain refuge</t>
        </is>
      </c>
      <c r="F59" s="3" t="n"/>
    </row>
    <row r="61" ht="20" customHeight="1">
      <c r="A61" s="30" t="inlineStr">
        <is>
          <t>💡 Booking Flexibility — Storm-Proof Your Itinerary</t>
        </is>
      </c>
    </row>
    <row r="62" ht="32" customHeight="1">
      <c r="A62" s="36" t="inlineStr">
        <is>
          <t>Klook bookings</t>
        </is>
      </c>
      <c r="B62" s="3" t="inlineStr">
        <is>
          <t>Filter 'Free cancellation up to 24hr' — most Tagaytay + Corregidor + Pinto tours offer it. Decide outdoor activities 2 days out based on PAGASA radar.</t>
        </is>
      </c>
      <c r="C62" s="3" t="n"/>
      <c r="D62" s="3" t="n"/>
      <c r="E62" s="3" t="n"/>
      <c r="F62" s="3" t="n"/>
    </row>
    <row r="63" ht="32" customHeight="1">
      <c r="A63" s="36" t="inlineStr">
        <is>
          <t>Hotel rate</t>
        </is>
      </c>
      <c r="B63" s="3" t="inlineStr">
        <is>
          <t>Agoda / Booking Free Cancellation rate (~5-10% more than non-refund) lets you extend a day at fixed rate if flight cancels.</t>
        </is>
      </c>
      <c r="C63" s="3" t="n"/>
      <c r="D63" s="3" t="n"/>
      <c r="E63" s="3" t="n"/>
      <c r="F63" s="3" t="n"/>
    </row>
    <row r="64" ht="32" customHeight="1">
      <c r="A64" s="36" t="inlineStr">
        <is>
          <t>Cebu Pacific / PAL flights</t>
        </is>
      </c>
      <c r="B64" s="3" t="inlineStr">
        <is>
          <t>Both waive change fees during officially-declared typhoon advisories. Monitor T-72hr via carrier app + Twitter (@CebuPacificAir / @flyPAL). Domestic = waived less generously than intl — file early.</t>
        </is>
      </c>
      <c r="C64" s="3" t="n"/>
      <c r="D64" s="3" t="n"/>
      <c r="E64" s="3" t="n"/>
      <c r="F64" s="3" t="n"/>
    </row>
    <row r="65" ht="32" customHeight="1">
      <c r="A65" s="36" t="inlineStr">
        <is>
          <t>Travel insurance</t>
        </is>
      </c>
      <c r="B65" s="3" t="inlineStr">
        <is>
          <t>Standard Insurance, Pioneer, Malayan PH all cover &gt;6hr delay (meals, hotel, transit) + cancellation. Keep receipts; file within 30 days.</t>
        </is>
      </c>
      <c r="C65" s="3" t="n"/>
      <c r="D65" s="3" t="n"/>
      <c r="E65" s="3" t="n"/>
      <c r="F65" s="3" t="n"/>
    </row>
    <row r="66" ht="32" customHeight="1">
      <c r="A66" s="36" t="inlineStr">
        <is>
          <t>Private driver</t>
        </is>
      </c>
      <c r="B66" s="3" t="inlineStr">
        <is>
          <t>Hotel-arranged Tagaytay car can reschedule same week. Klook private = refund if road impassable. Confirm by 18:00 day before.</t>
        </is>
      </c>
      <c r="C66" s="3" t="n"/>
      <c r="D66" s="3" t="n"/>
      <c r="E66" s="3" t="n"/>
      <c r="F66" s="3" t="n"/>
    </row>
    <row r="67" ht="32" customHeight="1">
      <c r="A67" s="36" t="inlineStr">
        <is>
          <t>Spa bookings</t>
        </is>
      </c>
      <c r="B67" s="3" t="inlineStr">
        <is>
          <t>WhatsApp The Spa BGC / Nuat Thai — flexible to reshuffle same week. No deposit at most chains.</t>
        </is>
      </c>
      <c r="C67" s="3" t="n"/>
      <c r="D67" s="3" t="n"/>
      <c r="E67" s="3" t="n"/>
      <c r="F67" s="3" t="n"/>
    </row>
    <row r="68" ht="32" customHeight="1">
      <c r="A68" s="36" t="inlineStr">
        <is>
          <t>Forecast sources</t>
        </is>
      </c>
      <c r="B68" s="3" t="inlineStr">
        <is>
          <t>PAGASA (pagasa.dost.gov.ph official PH), Windy.com (radar + multi-model), AccuWeather (hour-by-hour), Yr.no (Norwegian Met = often more accurate).</t>
        </is>
      </c>
      <c r="C68" s="3" t="n"/>
      <c r="D68" s="3" t="n"/>
      <c r="E68" s="3" t="n"/>
      <c r="F68" s="3" t="n"/>
    </row>
    <row r="69" ht="32" customHeight="1">
      <c r="A69" s="36" t="inlineStr">
        <is>
          <t>Local cue</t>
        </is>
      </c>
      <c r="B69" s="3" t="inlineStr">
        <is>
          <t>If hotel staff says 'malakas ang ulan' (heavy rain) or 'bagyo' (typhoon) — believe them over app forecasts. Check PHIVOLCS for Taal alert.</t>
        </is>
      </c>
      <c r="C69" s="3" t="n"/>
      <c r="D69" s="3" t="n"/>
      <c r="E69" s="3" t="n"/>
      <c r="F69" s="3" t="n"/>
    </row>
    <row r="70" ht="32" customHeight="1">
      <c r="A70" s="36" t="inlineStr">
        <is>
          <t>Flood signals</t>
        </is>
      </c>
      <c r="B70" s="3" t="inlineStr">
        <is>
          <t>MMDA Flood Twitter (@MMDA) reports street-level flooding live. España Blvd + EDSA Cubao + Marikina = first to flood.</t>
        </is>
      </c>
      <c r="C70" s="3" t="n"/>
      <c r="D70" s="3" t="n"/>
      <c r="E70" s="3" t="n"/>
      <c r="F70" s="3" t="n"/>
    </row>
  </sheetData>
  <mergeCells count="37">
    <mergeCell ref="E50:F50"/>
    <mergeCell ref="A46:F46"/>
    <mergeCell ref="C8:F8"/>
    <mergeCell ref="E55:F55"/>
    <mergeCell ref="B62:F62"/>
    <mergeCell ref="B66:F66"/>
    <mergeCell ref="C7:F7"/>
    <mergeCell ref="A12:F12"/>
    <mergeCell ref="E52:F52"/>
    <mergeCell ref="A26:F26"/>
    <mergeCell ref="E48:F48"/>
    <mergeCell ref="B70:F70"/>
    <mergeCell ref="A2:F2"/>
    <mergeCell ref="E51:F51"/>
    <mergeCell ref="A32:F32"/>
    <mergeCell ref="C6:F6"/>
    <mergeCell ref="B67:F67"/>
    <mergeCell ref="A4:F4"/>
    <mergeCell ref="E59:F59"/>
    <mergeCell ref="B69:F69"/>
    <mergeCell ref="A13:F13"/>
    <mergeCell ref="A19:F19"/>
    <mergeCell ref="E58:F58"/>
    <mergeCell ref="E49:F49"/>
    <mergeCell ref="C10:F10"/>
    <mergeCell ref="A39:F39"/>
    <mergeCell ref="E57:F57"/>
    <mergeCell ref="B65:F65"/>
    <mergeCell ref="C9:F9"/>
    <mergeCell ref="B68:F68"/>
    <mergeCell ref="E54:F54"/>
    <mergeCell ref="B64:F64"/>
    <mergeCell ref="A1:F1"/>
    <mergeCell ref="A61:F61"/>
    <mergeCell ref="B63:F63"/>
    <mergeCell ref="E53:F53"/>
    <mergeCell ref="E56:F5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42" customWidth="1" min="3" max="3"/>
    <col width="36" customWidth="1" min="4" max="4"/>
  </cols>
  <sheetData>
    <row r="1" ht="24" customHeight="1">
      <c r="A1" s="26" t="inlineStr">
        <is>
          <t>⚖️ v1 Standard vs v2 Relaxed Less-Touristy</t>
        </is>
      </c>
    </row>
    <row r="3">
      <c r="A3" s="7" t="inlineStr">
        <is>
          <t>Item</t>
        </is>
      </c>
      <c r="B3" s="7" t="inlineStr">
        <is>
          <t>v1 — Standard</t>
        </is>
      </c>
      <c r="C3" s="7" t="inlineStr">
        <is>
          <t>v2 — Relaxed Less-Touristy</t>
        </is>
      </c>
      <c r="D3" s="7" t="inlineStr">
        <is>
          <t>Why change</t>
        </is>
      </c>
    </row>
    <row r="4" ht="40" customHeight="1">
      <c r="A4" s="37" t="inlineStr">
        <is>
          <t>Day 1 PM</t>
        </is>
      </c>
      <c r="B4" s="8" t="inlineStr">
        <is>
          <t>Intramuros half-day + Manila Bay sunset (active)</t>
        </is>
      </c>
      <c r="C4" s="8" t="inlineStr">
        <is>
          <t>Hotel pool + Baywalk sunset only</t>
        </is>
      </c>
      <c r="D4" s="8" t="inlineStr">
        <is>
          <t>Soft arrival; avoid heat exhaustion day 1</t>
        </is>
      </c>
    </row>
    <row r="5" ht="40" customHeight="1">
      <c r="A5" s="36" t="inlineStr">
        <is>
          <t>Day 2</t>
        </is>
      </c>
      <c r="B5" s="3" t="inlineStr">
        <is>
          <t>Binondo crawl + Quiapo + Escolta + Poblacion nightlife</t>
        </is>
      </c>
      <c r="C5" s="3" t="inlineStr">
        <is>
          <t>Sunrise Intramuros + slow Binondo (skip Quiapo)</t>
        </is>
      </c>
      <c r="D5" s="3" t="inlineStr">
        <is>
          <t>v1 too packed — 4 walking-heavy stops + late bars</t>
        </is>
      </c>
    </row>
    <row r="6" ht="40" customHeight="1">
      <c r="A6" s="37" t="inlineStr">
        <is>
          <t>Day 3 anchor</t>
        </is>
      </c>
      <c r="B6" s="8" t="inlineStr">
        <is>
          <t>Tagaytay day trip (60km RT, peak weekend crowds)</t>
        </is>
      </c>
      <c r="C6" s="8" t="inlineStr">
        <is>
          <t>Pinto Art Museum Antipolo (28km, quiet curated art)</t>
        </is>
      </c>
      <c r="D6" s="8" t="inlineStr">
        <is>
          <t>v2 cuts long drive + skips Tagaytay weekend traffic</t>
        </is>
      </c>
    </row>
    <row r="7" ht="40" customHeight="1">
      <c r="A7" s="36" t="inlineStr">
        <is>
          <t>Day 4</t>
        </is>
      </c>
      <c r="B7" s="3" t="inlineStr">
        <is>
          <t>Ayala Museum + BGC + spa + Toyo Eatery dinner + nightcap</t>
        </is>
      </c>
      <c r="C7" s="3" t="inlineStr">
        <is>
          <t>Legaspi Market + Ayala Museum + long Toyo lunch + rest</t>
        </is>
      </c>
      <c r="D7" s="3" t="inlineStr">
        <is>
          <t>v1 = 13hr active; v2 = 9hr + nap block</t>
        </is>
      </c>
    </row>
    <row r="8" ht="40" customHeight="1">
      <c r="A8" s="37" t="inlineStr">
        <is>
          <t>Day 5 departure</t>
        </is>
      </c>
      <c r="B8" s="8" t="inlineStr">
        <is>
          <t>Pasalubong + lunch + Grab NAIA T-2hr</t>
        </is>
      </c>
      <c r="C8" s="8" t="inlineStr">
        <is>
          <t>Easy breakfast + light shopping + Grab NAIA T-3hr</t>
        </is>
      </c>
      <c r="D8" s="8" t="inlineStr">
        <is>
          <t>Habagat = NAIA delays; extra buffer</t>
        </is>
      </c>
    </row>
    <row r="9" ht="40" customHeight="1">
      <c r="A9" s="36" t="inlineStr">
        <is>
          <t>Total spa time</t>
        </is>
      </c>
      <c r="B9" s="3" t="inlineStr">
        <is>
          <t>60 + 90 = 150min two sessions</t>
        </is>
      </c>
      <c r="C9" s="3" t="inlineStr">
        <is>
          <t>150min single long ritual</t>
        </is>
      </c>
      <c r="D9" s="3" t="inlineStr">
        <is>
          <t>Quality &gt; quantity</t>
        </is>
      </c>
    </row>
    <row r="10" ht="40" customHeight="1">
      <c r="A10" s="37" t="inlineStr">
        <is>
          <t>Avg daily transit km</t>
        </is>
      </c>
      <c r="B10" s="8" t="inlineStr">
        <is>
          <t>~28 km</t>
        </is>
      </c>
      <c r="C10" s="8" t="inlineStr">
        <is>
          <t>~22 km</t>
        </is>
      </c>
      <c r="D10" s="8" t="inlineStr">
        <is>
          <t>v2 trades Tagaytay for shorter Antipolo + sunrise Intramuros (less traffic)</t>
        </is>
      </c>
    </row>
    <row r="11" ht="40" customHeight="1">
      <c r="A11" s="36" t="inlineStr">
        <is>
          <t>Crowd exposure</t>
        </is>
      </c>
      <c r="B11" s="3" t="inlineStr">
        <is>
          <t>High (Binondo crawl + Quiapo + Tagaytay weekend)</t>
        </is>
      </c>
      <c r="C11" s="3" t="inlineStr">
        <is>
          <t>Low (sunrise Intramuros + Antipolo art + Legaspi local)</t>
        </is>
      </c>
      <c r="D11" s="3" t="inlineStr">
        <is>
          <t>v2 avoids tour-bus + religious-crowd zones</t>
        </is>
      </c>
    </row>
    <row r="12" ht="40" customHeight="1">
      <c r="A12" s="37" t="inlineStr">
        <is>
          <t>Heat exposure</t>
        </is>
      </c>
      <c r="B12" s="8" t="inlineStr">
        <is>
          <t>High (3 outdoor anchors)</t>
        </is>
      </c>
      <c r="C12" s="8" t="inlineStr">
        <is>
          <t>Medium (sunrise + indoor museum + spa)</t>
        </is>
      </c>
      <c r="D12" s="8" t="inlineStr">
        <is>
          <t>v2 keeps 11-15:00 indoor</t>
        </is>
      </c>
    </row>
    <row r="13" ht="40" customHeight="1">
      <c r="A13" s="36" t="inlineStr">
        <is>
          <t>Nightlife</t>
        </is>
      </c>
      <c r="B13" s="3" t="inlineStr">
        <is>
          <t>Mandatory Poblacion crawl + The Curator nightcap</t>
        </is>
      </c>
      <c r="C13" s="3" t="inlineStr">
        <is>
          <t>Optional — only if energy permits</t>
        </is>
      </c>
      <c r="D13" s="3" t="inlineStr">
        <is>
          <t>Free weather/energy pivot</t>
        </is>
      </c>
    </row>
    <row r="14" ht="40" customHeight="1">
      <c r="A14" s="37" t="inlineStr">
        <is>
          <t>Active hours/day</t>
        </is>
      </c>
      <c r="B14" s="8" t="inlineStr">
        <is>
          <t>13-14 hr</t>
        </is>
      </c>
      <c r="C14" s="8" t="inlineStr">
        <is>
          <t>10-12 hr with 2× rest blocks</t>
        </is>
      </c>
      <c r="D14" s="8" t="inlineStr">
        <is>
          <t>Pace for couples/leisure/heat tolerance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8" customWidth="1" min="3" max="3"/>
    <col width="18" customWidth="1" min="4" max="4"/>
    <col width="18" customWidth="1" min="5" max="5"/>
    <col width="50" customWidth="1" min="6" max="6"/>
  </cols>
  <sheetData>
    <row r="1" ht="24" customHeight="1">
      <c r="A1" s="1" t="inlineStr">
        <is>
          <t>🏨 Accommodation Options — Makati CBD (Ayala / Poblacion side)</t>
        </is>
      </c>
    </row>
    <row r="3">
      <c r="A3" s="7" t="inlineStr">
        <is>
          <t>Hotel</t>
        </is>
      </c>
      <c r="B3" s="7" t="inlineStr">
        <is>
          <t>Tier</t>
        </is>
      </c>
      <c r="C3" s="7" t="inlineStr">
        <is>
          <t>Rating</t>
        </is>
      </c>
      <c r="D3" s="7" t="inlineStr">
        <is>
          <t>SGD/night (low)</t>
        </is>
      </c>
      <c r="E3" s="7" t="inlineStr">
        <is>
          <t>SGD/night (high)</t>
        </is>
      </c>
      <c r="F3" s="7" t="inlineStr">
        <is>
          <t>Notes</t>
        </is>
      </c>
    </row>
    <row r="4" ht="32" customHeight="1">
      <c r="A4" s="8" t="inlineStr">
        <is>
          <t>Red Planet Makati (Mabini)</t>
        </is>
      </c>
      <c r="B4" s="10" t="inlineStr">
        <is>
          <t>Budget</t>
        </is>
      </c>
      <c r="C4" s="10" t="inlineStr">
        <is>
          <t>3★</t>
        </is>
      </c>
      <c r="D4" s="38" t="n">
        <v>35</v>
      </c>
      <c r="E4" s="38" t="n">
        <v>55</v>
      </c>
      <c r="F4" s="8" t="inlineStr">
        <is>
          <t>Walking distance Poblacion + Greenbelt. Clean, no-frills. Best budget pick.</t>
        </is>
      </c>
    </row>
    <row r="5" ht="32" customHeight="1">
      <c r="A5" s="3" t="inlineStr">
        <is>
          <t>Citadines Salcedo Makati</t>
        </is>
      </c>
      <c r="B5" s="15" t="inlineStr">
        <is>
          <t>Mid</t>
        </is>
      </c>
      <c r="C5" s="15" t="inlineStr">
        <is>
          <t>4★</t>
        </is>
      </c>
      <c r="D5" s="39" t="n">
        <v>90</v>
      </c>
      <c r="E5" s="39" t="n">
        <v>140</v>
      </c>
      <c r="F5" s="3" t="inlineStr">
        <is>
          <t>Aparthotel with kitchen, gym, pool. Salcedo Village near Saturday market. Mid-range sweet spot.</t>
        </is>
      </c>
    </row>
    <row r="6" ht="32" customHeight="1">
      <c r="A6" s="8" t="inlineStr">
        <is>
          <t>Dusit Thani Manila</t>
        </is>
      </c>
      <c r="B6" s="10" t="inlineStr">
        <is>
          <t>Luxury</t>
        </is>
      </c>
      <c r="C6" s="10" t="inlineStr">
        <is>
          <t>5★</t>
        </is>
      </c>
      <c r="D6" s="38" t="n">
        <v>200</v>
      </c>
      <c r="E6" s="38" t="n">
        <v>320</v>
      </c>
      <c r="F6" s="8" t="inlineStr">
        <is>
          <t>Across Ayala MRT, walking to Greenbelt/Ayala Museum. Devarana Spa onsite. Reliable luxury.</t>
        </is>
      </c>
    </row>
    <row r="7" ht="32" customHeight="1">
      <c r="A7" s="3" t="inlineStr">
        <is>
          <t>Shangri-La The Fort (BGC)</t>
        </is>
      </c>
      <c r="B7" s="15" t="inlineStr">
        <is>
          <t>Luxury</t>
        </is>
      </c>
      <c r="C7" s="15" t="inlineStr">
        <is>
          <t>5★</t>
        </is>
      </c>
      <c r="D7" s="39" t="n">
        <v>280</v>
      </c>
      <c r="E7" s="39" t="n">
        <v>450</v>
      </c>
      <c r="F7" s="3" t="inlineStr">
        <is>
          <t>If staying BGC instead of Makati. Tallest hotel in PH. Samba rooftop bar, CHI Spa.</t>
        </is>
      </c>
    </row>
    <row r="9" ht="30" customHeight="1">
      <c r="A9" s="40" t="inlineStr">
        <is>
          <t>RECOMMENDATION: Single hotel in Makati CBD (walking distance to Greenbelt + Poblacion + Salcedo). Citadines Salcedo = sweet spot mid-range. Book Free Cancellation rate to allow late pivot to BGC if needed. Avoid Manila/Ermita budget hotels (further from BGC, worse safety after dark).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60" customWidth="1" min="4" max="4"/>
    <col width="18" customWidth="1" min="5" max="5"/>
  </cols>
  <sheetData>
    <row r="1" ht="24" customHeight="1">
      <c r="A1" s="1" t="inlineStr">
        <is>
          <t>🍜 Food / 💆 Spa / 🍻 Nightlife</t>
        </is>
      </c>
    </row>
    <row r="3" ht="20" customHeight="1">
      <c r="A3" s="41" t="inlineStr">
        <is>
          <t>🍜 Food — Must-Try</t>
        </is>
      </c>
    </row>
    <row r="4">
      <c r="A4" s="7" t="inlineStr">
        <is>
          <t>Place</t>
        </is>
      </c>
      <c r="B4" s="7" t="inlineStr">
        <is>
          <t>Area</t>
        </is>
      </c>
      <c r="C4" s="7" t="inlineStr">
        <is>
          <t>Price (PHP)</t>
        </is>
      </c>
      <c r="D4" s="7" t="inlineStr">
        <is>
          <t>Notes</t>
        </is>
      </c>
      <c r="E4" s="7" t="inlineStr">
        <is>
          <t>When</t>
        </is>
      </c>
    </row>
    <row r="5" ht="36" customHeight="1">
      <c r="A5" s="8" t="inlineStr">
        <is>
          <t>Wai Ying Fastfood</t>
        </is>
      </c>
      <c r="B5" s="8" t="inlineStr">
        <is>
          <t>Binondo</t>
        </is>
      </c>
      <c r="C5" s="8" t="inlineStr">
        <is>
          <t>₱200-350</t>
        </is>
      </c>
      <c r="D5" s="8" t="inlineStr">
        <is>
          <t>Cheap, fast Cantonese dimsum + hakaw + soy chicken. Cult favorite. Two branches (Benavidez + Salazar). Cash only.</t>
        </is>
      </c>
      <c r="E5" s="8" t="inlineStr">
        <is>
          <t>Day 2 Binondo crawl lunch</t>
        </is>
      </c>
    </row>
    <row r="6" ht="36" customHeight="1">
      <c r="A6" s="3" t="inlineStr">
        <is>
          <t>Manam Comfort Filipino</t>
        </is>
      </c>
      <c r="B6" s="3" t="inlineStr">
        <is>
          <t>Greenbelt 2, Makati</t>
        </is>
      </c>
      <c r="C6" s="3" t="inlineStr">
        <is>
          <t>₱400-700</t>
        </is>
      </c>
      <c r="D6" s="3" t="inlineStr">
        <is>
          <t>Modern Filipino tapas — sinigang sa watermelon, crispy pata, kare-kare. Order classics + twist sides. Walk-ins okay weekday lunch.</t>
        </is>
      </c>
      <c r="E6" s="3" t="inlineStr">
        <is>
          <t>Day 1 lunch / Day 2 dinner</t>
        </is>
      </c>
    </row>
    <row r="7" ht="36" customHeight="1">
      <c r="A7" s="8" t="inlineStr">
        <is>
          <t>Toyo Eatery</t>
        </is>
      </c>
      <c r="B7" s="8" t="inlineStr">
        <is>
          <t>Karrivin Plaza, Makati</t>
        </is>
      </c>
      <c r="C7" s="8" t="inlineStr">
        <is>
          <t>₱3,500-4,500 tasting</t>
        </is>
      </c>
      <c r="D7" s="8" t="inlineStr">
        <is>
          <t>Asia's 50 Best — pinakbet bukid, Filipino tasting menu. Splurge dinner.</t>
        </is>
      </c>
      <c r="E7" s="8" t="inlineStr">
        <is>
          <t>Day 4 dinner (book 2wks ahead)</t>
        </is>
      </c>
    </row>
    <row r="8" ht="36" customHeight="1">
      <c r="A8" s="3" t="inlineStr">
        <is>
          <t>Aristocrat Restaurant (Roxas Blvd)</t>
        </is>
      </c>
      <c r="B8" s="3" t="inlineStr">
        <is>
          <t>Malate</t>
        </is>
      </c>
      <c r="C8" s="3" t="inlineStr">
        <is>
          <t>₱300-500</t>
        </is>
      </c>
      <c r="D8" s="3" t="inlineStr">
        <is>
          <t>Manila institution since 1936. Famous chicken BBQ + java rice + atchara. Heritage feel, often packed Sundays after Mass.</t>
        </is>
      </c>
      <c r="E8" s="3" t="inlineStr">
        <is>
          <t>Day 1 dinner post Baywalk</t>
        </is>
      </c>
    </row>
    <row r="9" ht="36" customHeight="1">
      <c r="A9" s="8" t="inlineStr">
        <is>
          <t>Romulo Café</t>
        </is>
      </c>
      <c r="B9" s="8" t="inlineStr">
        <is>
          <t>QC original / Makati branch</t>
        </is>
      </c>
      <c r="C9" s="8" t="inlineStr">
        <is>
          <t>₱500-900</t>
        </is>
      </c>
      <c r="D9" s="8" t="inlineStr">
        <is>
          <t>Heritage Filipino — Tito Greg's adobo flakes, chicken relleno, dinuguan empanadas. Named after Carlos P. Romulo. Good for groups.</t>
        </is>
      </c>
      <c r="E9" s="8" t="inlineStr">
        <is>
          <t>Day 4 lunch alt</t>
        </is>
      </c>
    </row>
    <row r="10" ht="36" customHeight="1">
      <c r="A10" s="3" t="inlineStr">
        <is>
          <t>Sentro 1771</t>
        </is>
      </c>
      <c r="B10" s="3" t="inlineStr">
        <is>
          <t>Greenbelt 3 / Capitol Commons</t>
        </is>
      </c>
      <c r="C10" s="3" t="inlineStr">
        <is>
          <t>₱500-800</t>
        </is>
      </c>
      <c r="D10" s="3" t="inlineStr">
        <is>
          <t>Modern Filipino — corned-beef sinigang (iconic), bagnet, ensaladang mangga. Solid sit-down option.</t>
        </is>
      </c>
      <c r="E10" s="3" t="inlineStr">
        <is>
          <t>Day 5 final lunch</t>
        </is>
      </c>
    </row>
    <row r="11" ht="36" customHeight="1">
      <c r="A11" s="8" t="inlineStr">
        <is>
          <t>Leslie's Restaurant Tagaytay</t>
        </is>
      </c>
      <c r="B11" s="8" t="inlineStr">
        <is>
          <t>Aguinaldo Hwy, Tagaytay</t>
        </is>
      </c>
      <c r="C11" s="8" t="inlineStr">
        <is>
          <t>₱500-900</t>
        </is>
      </c>
      <c r="D11" s="8" t="inlineStr">
        <is>
          <t>Classic bulalo (beef bone-marrow stew) with Taal Lake panorama. Tourist mainstay but worth it for the view + the broth.</t>
        </is>
      </c>
      <c r="E11" s="8" t="inlineStr">
        <is>
          <t>Day 3 Tagaytay bulalo lunch</t>
        </is>
      </c>
    </row>
    <row r="12" ht="36" customHeight="1">
      <c r="A12" s="3" t="inlineStr">
        <is>
          <t>Wildflour Café + Bakery</t>
        </is>
      </c>
      <c r="B12" s="3" t="inlineStr">
        <is>
          <t>Salcedo / BGC / Podium</t>
        </is>
      </c>
      <c r="C12" s="3" t="inlineStr">
        <is>
          <t>₱300-600</t>
        </is>
      </c>
      <c r="D12" s="3" t="inlineStr">
        <is>
          <t>Upscale all-day café — eggs benedict, salted caramel ensaymada, fresh pastries. Reliable any day.</t>
        </is>
      </c>
      <c r="E12" s="3" t="inlineStr">
        <is>
          <t>Breakfast / brunch</t>
        </is>
      </c>
    </row>
    <row r="14" ht="20" customHeight="1">
      <c r="A14" s="6" t="inlineStr">
        <is>
          <t>💆 Spas</t>
        </is>
      </c>
    </row>
    <row r="15">
      <c r="A15" s="7" t="inlineStr">
        <is>
          <t>Place</t>
        </is>
      </c>
      <c r="B15" s="7" t="inlineStr">
        <is>
          <t>Area</t>
        </is>
      </c>
      <c r="C15" s="7" t="inlineStr">
        <is>
          <t>Price (PHP)</t>
        </is>
      </c>
      <c r="D15" s="7" t="inlineStr">
        <is>
          <t>Notes</t>
        </is>
      </c>
      <c r="E15" s="7" t="inlineStr">
        <is>
          <t>When</t>
        </is>
      </c>
    </row>
    <row r="16" ht="36" customHeight="1">
      <c r="A16" s="8" t="inlineStr">
        <is>
          <t>The Spa (Fort Bonifacio)</t>
        </is>
      </c>
      <c r="B16" s="8" t="inlineStr">
        <is>
          <t>BGC</t>
        </is>
      </c>
      <c r="C16" s="8" t="inlineStr">
        <is>
          <t>₱1,200-3,200</t>
        </is>
      </c>
      <c r="D16" s="8" t="inlineStr">
        <is>
          <t>Reliable mid-range chain — Swedish, hilot, hot stone. Couples rooms. Book ahead Sat/Sun.</t>
        </is>
      </c>
      <c r="E16" s="8" t="inlineStr">
        <is>
          <t>Day 4 evening</t>
        </is>
      </c>
    </row>
    <row r="17" ht="36" customHeight="1">
      <c r="A17" s="3" t="inlineStr">
        <is>
          <t>Nuat Thai</t>
        </is>
      </c>
      <c r="B17" s="3" t="inlineStr">
        <is>
          <t>Multiple branches (Makati/BGC/QC)</t>
        </is>
      </c>
      <c r="C17" s="3" t="inlineStr">
        <is>
          <t>₱400-700</t>
        </is>
      </c>
      <c r="D17" s="3" t="inlineStr">
        <is>
          <t>Cheap reliable Thai massage chain. Walk-in possible. Foot reflex highly recommended after Intramuros walking day.</t>
        </is>
      </c>
      <c r="E17" s="3" t="inlineStr">
        <is>
          <t>Any evening / post Intramuros walk</t>
        </is>
      </c>
    </row>
    <row r="18" ht="36" customHeight="1">
      <c r="A18" s="8" t="inlineStr">
        <is>
          <t>Devarana Spa (Dusit Thani)</t>
        </is>
      </c>
      <c r="B18" s="8" t="inlineStr">
        <is>
          <t>Makati (Ayala Center)</t>
        </is>
      </c>
      <c r="C18" s="8" t="inlineStr">
        <is>
          <t>₱4,500-6,500</t>
        </is>
      </c>
      <c r="D18" s="8" t="inlineStr">
        <is>
          <t>Luxury hotel spa, Thai-inspired rituals, signature Devarana 150min package. Best splurge.</t>
        </is>
      </c>
      <c r="E18" s="8" t="inlineStr">
        <is>
          <t>Splurge — 120-150min ritual</t>
        </is>
      </c>
    </row>
    <row r="19" ht="36" customHeight="1">
      <c r="A19" s="3" t="inlineStr">
        <is>
          <t>Mandala Spa (Antipolo)</t>
        </is>
      </c>
      <c r="B19" s="3" t="inlineStr">
        <is>
          <t>Antipolo (~28km E)</t>
        </is>
      </c>
      <c r="C19" s="3" t="inlineStr">
        <is>
          <t>₱3,000-5,000</t>
        </is>
      </c>
      <c r="D19" s="3" t="inlineStr">
        <is>
          <t>Hidden hillside spa retreat. Pair with Pinto Art Museum for half-day off-radar wellness combo.</t>
        </is>
      </c>
      <c r="E19" s="3" t="inlineStr">
        <is>
          <t>Day 3 v2 — pair with Pinto</t>
        </is>
      </c>
    </row>
    <row r="21" ht="20" customHeight="1">
      <c r="A21" s="42" t="inlineStr">
        <is>
          <t>🍻 Nightlife</t>
        </is>
      </c>
    </row>
    <row r="22">
      <c r="A22" s="7" t="inlineStr">
        <is>
          <t>Place</t>
        </is>
      </c>
      <c r="B22" s="7" t="inlineStr">
        <is>
          <t>Area</t>
        </is>
      </c>
      <c r="C22" s="7" t="inlineStr">
        <is>
          <t>Price (PHP)</t>
        </is>
      </c>
      <c r="D22" s="7" t="inlineStr">
        <is>
          <t>Notes</t>
        </is>
      </c>
      <c r="E22" s="7" t="inlineStr">
        <is>
          <t>When</t>
        </is>
      </c>
    </row>
    <row r="23" ht="36" customHeight="1">
      <c r="A23" s="8" t="inlineStr">
        <is>
          <t>Z Hostel Rooftop Bar</t>
        </is>
      </c>
      <c r="B23" s="8" t="inlineStr">
        <is>
          <t>Poblacion, Makati</t>
        </is>
      </c>
      <c r="C23" s="8" t="inlineStr">
        <is>
          <t>₱200-350</t>
        </is>
      </c>
      <c r="D23" s="8" t="inlineStr">
        <is>
          <t>Open-air rooftop bar — sunset cocktails, Manila skyline view. Crowd builds 21:00 onward.</t>
        </is>
      </c>
      <c r="E23" s="8" t="inlineStr">
        <is>
          <t>Day 2 — start of crawl</t>
        </is>
      </c>
    </row>
    <row r="24" ht="36" customHeight="1">
      <c r="A24" s="3" t="inlineStr">
        <is>
          <t>The Curator</t>
        </is>
      </c>
      <c r="B24" s="3" t="inlineStr">
        <is>
          <t>Legaspi Village, Makati</t>
        </is>
      </c>
      <c r="C24" s="3" t="inlineStr">
        <is>
          <t>₱500-700</t>
        </is>
      </c>
      <c r="D24" s="3" t="inlineStr">
        <is>
          <t>Speakeasy behind coffee shop. World's 50 Best Bars alum. Craft cocktails. Reservation recommended Fri/Sat.</t>
        </is>
      </c>
      <c r="E24" s="3" t="inlineStr">
        <is>
          <t>Day 4 nightcap (book ahead)</t>
        </is>
      </c>
    </row>
    <row r="25" ht="36" customHeight="1">
      <c r="A25" s="8" t="inlineStr">
        <is>
          <t>Run Rabbit Run</t>
        </is>
      </c>
      <c r="B25" s="8" t="inlineStr">
        <is>
          <t>Poblacion, Makati</t>
        </is>
      </c>
      <c r="C25" s="8" t="inlineStr">
        <is>
          <t>₱400-600</t>
        </is>
      </c>
      <c r="D25" s="8" t="inlineStr">
        <is>
          <t>Speakeasy behind grocery façade. Cocktails + small plates. Hidden door experience.</t>
        </is>
      </c>
      <c r="E25" s="8" t="inlineStr">
        <is>
          <t>Day 2 — Poblacion crawl</t>
        </is>
      </c>
    </row>
    <row r="26" ht="36" customHeight="1">
      <c r="A26" s="3" t="inlineStr">
        <is>
          <t>The Bank Bar</t>
        </is>
      </c>
      <c r="B26" s="3" t="inlineStr">
        <is>
          <t>RCBC Plaza, Makati</t>
        </is>
      </c>
      <c r="C26" s="3" t="inlineStr">
        <is>
          <t>₱500-800</t>
        </is>
      </c>
      <c r="D26" s="3" t="inlineStr">
        <is>
          <t>Concealed inside RCBC Plaza — enter via Ze Royal Filipino-Cuban restaurant. Classic cocktail focus.</t>
        </is>
      </c>
      <c r="E26" s="3" t="inlineStr">
        <is>
          <t>Day 4 alt nightcap</t>
        </is>
      </c>
    </row>
    <row r="27" ht="36" customHeight="1">
      <c r="A27" s="8" t="inlineStr">
        <is>
          <t>Sky Deck Bayleaf</t>
        </is>
      </c>
      <c r="B27" s="8" t="inlineStr">
        <is>
          <t>Intramuros (Bayleaf Hotel)</t>
        </is>
      </c>
      <c r="C27" s="8" t="inlineStr">
        <is>
          <t>₱400-700</t>
        </is>
      </c>
      <c r="D27" s="8" t="inlineStr">
        <is>
          <t>Rooftop bar atop Bayleaf — Intramuros + Manila Bay views. Less crowded than Poblacion.</t>
        </is>
      </c>
      <c r="E27" s="8" t="inlineStr">
        <is>
          <t>Day 1 sunset alt</t>
        </is>
      </c>
    </row>
  </sheetData>
  <mergeCells count="4">
    <mergeCell ref="A21:E21"/>
    <mergeCell ref="A14:E14"/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38" customWidth="1" min="4" max="4"/>
    <col width="32" customWidth="1" min="5" max="5"/>
    <col width="8" customWidth="1" min="6" max="6"/>
  </cols>
  <sheetData>
    <row r="1" ht="24" customHeight="1">
      <c r="A1" s="43" t="inlineStr">
        <is>
          <t>💎 Hidden Gems &amp; Anti-Tourist Swaps</t>
        </is>
      </c>
    </row>
    <row r="2">
      <c r="A2" s="44" t="inlineStr">
        <is>
          <t>All vetted as light-traffic vs the standard tourist circuit. Distance from Makati CBD (Ayala / Poblacion side).</t>
        </is>
      </c>
    </row>
    <row r="4" ht="20" customHeight="1">
      <c r="A4" s="45" t="inlineStr">
        <is>
          <t>NATURE / SCENIC</t>
        </is>
      </c>
    </row>
    <row r="5">
      <c r="A5" s="7" t="inlineStr">
        <is>
          <t>Place</t>
        </is>
      </c>
      <c r="B5" s="7" t="inlineStr">
        <is>
          <t>Distance</t>
        </is>
      </c>
      <c r="C5" s="7" t="inlineStr">
        <is>
          <t>Travel time</t>
        </is>
      </c>
      <c r="D5" s="7" t="inlineStr">
        <is>
          <t>Why it stays quiet</t>
        </is>
      </c>
      <c r="E5" s="7" t="inlineStr">
        <is>
          <t>Notes / When</t>
        </is>
      </c>
      <c r="F5" s="7" t="inlineStr">
        <is>
          <t>Tried?</t>
        </is>
      </c>
    </row>
    <row r="6" ht="38" customHeight="1">
      <c r="A6" s="8" t="inlineStr">
        <is>
          <t>Pinto Art Museum (Antipolo)</t>
        </is>
      </c>
      <c r="B6" s="8" t="inlineStr">
        <is>
          <t>~28 km E</t>
        </is>
      </c>
      <c r="C6" s="8" t="inlineStr">
        <is>
          <t>~75 min</t>
        </is>
      </c>
      <c r="D6" s="8" t="inlineStr">
        <is>
          <t>Whitewashed art compound on hillside; intentional curation vs tour-bus crowds</t>
        </is>
      </c>
      <c r="E6" s="8" t="inlineStr">
        <is>
          <t>₱250; pair with Antipolo Church + viewpoint</t>
        </is>
      </c>
      <c r="F6" s="8" t="inlineStr">
        <is>
          <t>☐</t>
        </is>
      </c>
    </row>
    <row r="7" ht="38" customHeight="1">
      <c r="A7" s="3" t="inlineStr">
        <is>
          <t>La Mesa Eco Park (QC)</t>
        </is>
      </c>
      <c r="B7" s="3" t="inlineStr">
        <is>
          <t>~17 km NE</t>
        </is>
      </c>
      <c r="C7" s="3" t="inlineStr">
        <is>
          <t>~50 min</t>
        </is>
      </c>
      <c r="D7" s="3" t="inlineStr">
        <is>
          <t>33-hectare watershed forest, walking trails, picnic. Most tourists never go.</t>
        </is>
      </c>
      <c r="E7" s="3" t="inlineStr">
        <is>
          <t>₱60; weekday best</t>
        </is>
      </c>
      <c r="F7" s="3" t="inlineStr">
        <is>
          <t>☐</t>
        </is>
      </c>
    </row>
    <row r="8" ht="38" customHeight="1">
      <c r="A8" s="8" t="inlineStr">
        <is>
          <t>Las Piñas Bamboo Organ</t>
        </is>
      </c>
      <c r="B8" s="8" t="inlineStr">
        <is>
          <t>~20 km SW</t>
        </is>
      </c>
      <c r="C8" s="8" t="inlineStr">
        <is>
          <t>~50 min</t>
        </is>
      </c>
      <c r="D8" s="8" t="inlineStr">
        <is>
          <t>1816 bamboo pipe organ in St Joseph Parish — Nat'l Cultural Treasure</t>
        </is>
      </c>
      <c r="E8" s="8" t="inlineStr">
        <is>
          <t>₱150; weekday morning</t>
        </is>
      </c>
      <c r="F8" s="8" t="inlineStr">
        <is>
          <t>☐</t>
        </is>
      </c>
    </row>
    <row r="10" ht="20" customHeight="1">
      <c r="A10" s="45" t="inlineStr">
        <is>
          <t>BEACHES / DAY TRIPS</t>
        </is>
      </c>
    </row>
    <row r="11">
      <c r="A11" s="7" t="inlineStr">
        <is>
          <t>Place</t>
        </is>
      </c>
      <c r="B11" s="7" t="inlineStr">
        <is>
          <t>Distance</t>
        </is>
      </c>
      <c r="C11" s="7" t="inlineStr">
        <is>
          <t>Travel time</t>
        </is>
      </c>
      <c r="D11" s="7" t="inlineStr">
        <is>
          <t>Why it stays quiet</t>
        </is>
      </c>
      <c r="E11" s="7" t="inlineStr">
        <is>
          <t>Notes / When</t>
        </is>
      </c>
      <c r="F11" s="7" t="inlineStr">
        <is>
          <t>Tried?</t>
        </is>
      </c>
    </row>
    <row r="12" ht="38" customHeight="1">
      <c r="A12" s="8" t="inlineStr">
        <is>
          <t>Anvaya Cove / Bataan</t>
        </is>
      </c>
      <c r="B12" s="8" t="inlineStr">
        <is>
          <t>~120 km NW</t>
        </is>
      </c>
      <c r="C12" s="8" t="inlineStr">
        <is>
          <t>~3 hr</t>
        </is>
      </c>
      <c r="D12" s="8" t="inlineStr">
        <is>
          <t>Day-pass beach club on Subic Bay; far quieter than Boracay-adjacent stuff</t>
        </is>
      </c>
      <c r="E12" s="8" t="inlineStr">
        <is>
          <t>Overnight stay easier</t>
        </is>
      </c>
      <c r="F12" s="8" t="inlineStr">
        <is>
          <t>☐</t>
        </is>
      </c>
    </row>
    <row r="13" ht="38" customHeight="1">
      <c r="A13" s="3" t="inlineStr">
        <is>
          <t>Caliraya Resort (Laguna)</t>
        </is>
      </c>
      <c r="B13" s="3" t="inlineStr">
        <is>
          <t>~110 km SE</t>
        </is>
      </c>
      <c r="C13" s="3" t="inlineStr">
        <is>
          <t>~2.5 hr</t>
        </is>
      </c>
      <c r="D13" s="3" t="inlineStr">
        <is>
          <t>Pine-forest reservoir, kayaks; cooler than Tagaytay</t>
        </is>
      </c>
      <c r="E13" s="3" t="inlineStr">
        <is>
          <t>Day-trip possible but tight</t>
        </is>
      </c>
      <c r="F13" s="3" t="inlineStr">
        <is>
          <t>☐</t>
        </is>
      </c>
    </row>
    <row r="14" ht="38" customHeight="1">
      <c r="A14" s="8" t="inlineStr">
        <is>
          <t>Corregidor (slow version)</t>
        </is>
      </c>
      <c r="B14" s="8" t="inlineStr">
        <is>
          <t>~45 km W (ferry)</t>
        </is>
      </c>
      <c r="C14" s="8" t="inlineStr">
        <is>
          <t>~90 min ferry</t>
        </is>
      </c>
      <c r="D14" s="8" t="inlineStr">
        <is>
          <t>Overnight Corregidor Inn = empty island sunset</t>
        </is>
      </c>
      <c r="E14" s="8" t="inlineStr">
        <is>
          <t>₱6,500 overnight pkg via Sun Cruises</t>
        </is>
      </c>
      <c r="F14" s="8" t="inlineStr">
        <is>
          <t>☐</t>
        </is>
      </c>
    </row>
    <row r="16" ht="20" customHeight="1">
      <c r="A16" s="45" t="inlineStr">
        <is>
          <t>FOOD (local-only)</t>
        </is>
      </c>
    </row>
    <row r="17">
      <c r="A17" s="7" t="inlineStr">
        <is>
          <t>Place</t>
        </is>
      </c>
      <c r="B17" s="7" t="inlineStr">
        <is>
          <t>Distance</t>
        </is>
      </c>
      <c r="C17" s="7" t="inlineStr">
        <is>
          <t>Travel time</t>
        </is>
      </c>
      <c r="D17" s="7" t="inlineStr">
        <is>
          <t>Why it stays quiet</t>
        </is>
      </c>
      <c r="E17" s="7" t="inlineStr">
        <is>
          <t>Notes / When</t>
        </is>
      </c>
      <c r="F17" s="7" t="inlineStr">
        <is>
          <t>Tried?</t>
        </is>
      </c>
    </row>
    <row r="18" ht="38" customHeight="1">
      <c r="A18" s="8" t="inlineStr">
        <is>
          <t>Sincerity Restaurant</t>
        </is>
      </c>
      <c r="B18" s="8" t="inlineStr">
        <is>
          <t>Binondo ~8 km</t>
        </is>
      </c>
      <c r="C18" s="8" t="inlineStr">
        <is>
          <t>~28 min</t>
        </is>
      </c>
      <c r="D18" s="8" t="inlineStr">
        <is>
          <t>Cantonese fried chicken + kiampong; locals' favorite, hidden alley</t>
        </is>
      </c>
      <c r="E18" s="8" t="inlineStr">
        <is>
          <t>Cash only; no English menu — point at neighbours</t>
        </is>
      </c>
      <c r="F18" s="8" t="inlineStr">
        <is>
          <t>☐</t>
        </is>
      </c>
    </row>
    <row r="19" ht="38" customHeight="1">
      <c r="A19" s="3" t="inlineStr">
        <is>
          <t>Toho Antigua Panciteria</t>
        </is>
      </c>
      <c r="B19" s="3" t="inlineStr">
        <is>
          <t>Binondo ~8 km</t>
        </is>
      </c>
      <c r="C19" s="3" t="inlineStr">
        <is>
          <t>~28 min</t>
        </is>
      </c>
      <c r="D19" s="3" t="inlineStr">
        <is>
          <t>Manila's OLDEST restaurant (1888); pancit + lumpia</t>
        </is>
      </c>
      <c r="E19" s="3" t="inlineStr">
        <is>
          <t>Heritage feel; ₱300-500</t>
        </is>
      </c>
      <c r="F19" s="3" t="inlineStr">
        <is>
          <t>☐</t>
        </is>
      </c>
    </row>
    <row r="20" ht="38" customHeight="1">
      <c r="A20" s="8" t="inlineStr">
        <is>
          <t>Café Adriatico (Malate)</t>
        </is>
      </c>
      <c r="B20" s="8" t="inlineStr">
        <is>
          <t>~7 km W</t>
        </is>
      </c>
      <c r="C20" s="8" t="inlineStr">
        <is>
          <t>~25 min</t>
        </is>
      </c>
      <c r="D20" s="8" t="inlineStr">
        <is>
          <t>1979 LJC institution; bibingka + paella; quiet weekday</t>
        </is>
      </c>
      <c r="E20" s="8" t="inlineStr">
        <is>
          <t>₱500-800</t>
        </is>
      </c>
      <c r="F20" s="8" t="inlineStr">
        <is>
          <t>☐</t>
        </is>
      </c>
    </row>
    <row r="21" ht="38" customHeight="1">
      <c r="A21" s="3" t="inlineStr">
        <is>
          <t>Mañam Comfort Filipino</t>
        </is>
      </c>
      <c r="B21" s="3" t="inlineStr">
        <is>
          <t>Greenbelt 2 walk</t>
        </is>
      </c>
      <c r="C21" s="3" t="inlineStr">
        <is>
          <t>~10 min</t>
        </is>
      </c>
      <c r="D21" s="3" t="inlineStr">
        <is>
          <t>Modern Filipino tapas; weekday lunch easy walk-in</t>
        </is>
      </c>
      <c r="E21" s="3" t="inlineStr">
        <is>
          <t>₱400-700; try sinigang sa watermelon</t>
        </is>
      </c>
      <c r="F21" s="3" t="inlineStr">
        <is>
          <t>☐</t>
        </is>
      </c>
    </row>
    <row r="22" ht="38" customHeight="1">
      <c r="A22" s="8" t="inlineStr">
        <is>
          <t>Mercato Centrale (BGC weekend)</t>
        </is>
      </c>
      <c r="B22" s="8" t="inlineStr">
        <is>
          <t>BGC ~4 km</t>
        </is>
      </c>
      <c r="C22" s="8" t="inlineStr">
        <is>
          <t>~18 min</t>
        </is>
      </c>
      <c r="D22" s="8" t="inlineStr">
        <is>
          <t>Fri-Sat 18:00-03:00 night food market; locals' weekly ritual</t>
        </is>
      </c>
      <c r="E22" s="8" t="inlineStr">
        <is>
          <t>₱100-400; cash heavy</t>
        </is>
      </c>
      <c r="F22" s="8" t="inlineStr">
        <is>
          <t>☐</t>
        </is>
      </c>
    </row>
    <row r="24" ht="20" customHeight="1">
      <c r="A24" s="45" t="inlineStr">
        <is>
          <t>COFFEE (specialty)</t>
        </is>
      </c>
    </row>
    <row r="25">
      <c r="A25" s="7" t="inlineStr">
        <is>
          <t>Place</t>
        </is>
      </c>
      <c r="B25" s="7" t="inlineStr">
        <is>
          <t>Distance</t>
        </is>
      </c>
      <c r="C25" s="7" t="inlineStr">
        <is>
          <t>Travel time</t>
        </is>
      </c>
      <c r="D25" s="7" t="inlineStr">
        <is>
          <t>Why it stays quiet</t>
        </is>
      </c>
      <c r="E25" s="7" t="inlineStr">
        <is>
          <t>Notes / When</t>
        </is>
      </c>
      <c r="F25" s="7" t="inlineStr">
        <is>
          <t>Tried?</t>
        </is>
      </c>
    </row>
    <row r="26" ht="38" customHeight="1">
      <c r="A26" s="8" t="inlineStr">
        <is>
          <t>Yardstick Coffee</t>
        </is>
      </c>
      <c r="B26" s="8" t="inlineStr">
        <is>
          <t>Legaspi Village ~0.5 km</t>
        </is>
      </c>
      <c r="C26" s="8" t="inlineStr">
        <is>
          <t>~5 min walk</t>
        </is>
      </c>
      <c r="D26" s="8" t="inlineStr">
        <is>
          <t>Manila's specialty third-wave pioneer; locals work from here</t>
        </is>
      </c>
      <c r="E26" s="8" t="inlineStr">
        <is>
          <t>₱150-300</t>
        </is>
      </c>
      <c r="F26" s="8" t="inlineStr">
        <is>
          <t>☐</t>
        </is>
      </c>
    </row>
    <row r="27" ht="38" customHeight="1">
      <c r="A27" s="3" t="inlineStr">
        <is>
          <t>EDSA Beverage Design Studio</t>
        </is>
      </c>
      <c r="B27" s="3" t="inlineStr">
        <is>
          <t>BGC ~4 km</t>
        </is>
      </c>
      <c r="C27" s="3" t="inlineStr">
        <is>
          <t>~18 min</t>
        </is>
      </c>
      <c r="D27" s="3" t="inlineStr">
        <is>
          <t>Single-origin tasting flights; coffee + cocktails</t>
        </is>
      </c>
      <c r="E27" s="3" t="inlineStr">
        <is>
          <t>₱200-500</t>
        </is>
      </c>
      <c r="F27" s="3" t="inlineStr">
        <is>
          <t>☐</t>
        </is>
      </c>
    </row>
    <row r="28" ht="38" customHeight="1">
      <c r="A28" s="8" t="inlineStr">
        <is>
          <t>Tilde Handcrafted Café</t>
        </is>
      </c>
      <c r="B28" s="8" t="inlineStr">
        <is>
          <t>Cubao ~12 km</t>
        </is>
      </c>
      <c r="C28" s="8" t="inlineStr">
        <is>
          <t>~35 min</t>
        </is>
      </c>
      <c r="D28" s="8" t="inlineStr">
        <is>
          <t>Cubao Expo arts district; quiet vinyl + coffee</t>
        </is>
      </c>
      <c r="E28" s="8" t="inlineStr">
        <is>
          <t>Pair with Cubao Expo art browse</t>
        </is>
      </c>
      <c r="F28" s="8" t="inlineStr">
        <is>
          <t>☐</t>
        </is>
      </c>
    </row>
    <row r="30" ht="20" customHeight="1">
      <c r="A30" s="45" t="inlineStr">
        <is>
          <t>CULTURE (low-traffic)</t>
        </is>
      </c>
    </row>
    <row r="31">
      <c r="A31" s="7" t="inlineStr">
        <is>
          <t>Place</t>
        </is>
      </c>
      <c r="B31" s="7" t="inlineStr">
        <is>
          <t>Distance</t>
        </is>
      </c>
      <c r="C31" s="7" t="inlineStr">
        <is>
          <t>Travel time</t>
        </is>
      </c>
      <c r="D31" s="7" t="inlineStr">
        <is>
          <t>Why it stays quiet</t>
        </is>
      </c>
      <c r="E31" s="7" t="inlineStr">
        <is>
          <t>Notes / When</t>
        </is>
      </c>
      <c r="F31" s="7" t="inlineStr">
        <is>
          <t>Tried?</t>
        </is>
      </c>
    </row>
    <row r="32" ht="38" customHeight="1">
      <c r="A32" s="8" t="inlineStr">
        <is>
          <t>Escolta Street + HUB:Make Lab</t>
        </is>
      </c>
      <c r="B32" s="8" t="inlineStr">
        <is>
          <t>~8 km N</t>
        </is>
      </c>
      <c r="C32" s="8" t="inlineStr">
        <is>
          <t>~28 min</t>
        </is>
      </c>
      <c r="D32" s="8" t="inlineStr">
        <is>
          <t>Heritage art district; First Saturday Block Party. Often missed.</t>
        </is>
      </c>
      <c r="E32" s="8" t="inlineStr">
        <is>
          <t>Free; Calvo Bldg, Regina Bldg</t>
        </is>
      </c>
      <c r="F32" s="8" t="inlineStr">
        <is>
          <t>☐</t>
        </is>
      </c>
    </row>
    <row r="33" ht="38" customHeight="1">
      <c r="A33" s="3" t="inlineStr">
        <is>
          <t>Manila Chinese Cemetery</t>
        </is>
      </c>
      <c r="B33" s="3" t="inlineStr">
        <is>
          <t>~11 km N</t>
        </is>
      </c>
      <c r="C33" s="3" t="inlineStr">
        <is>
          <t>~35 min</t>
        </is>
      </c>
      <c r="D33" s="3" t="inlineStr">
        <is>
          <t>Mausoleums w/ AC + mailboxes — surreal 'mini-city'</t>
        </is>
      </c>
      <c r="E33" s="3" t="inlineStr">
        <is>
          <t>Free; hire pedicab guide ₱500</t>
        </is>
      </c>
      <c r="F33" s="3" t="inlineStr">
        <is>
          <t>☐</t>
        </is>
      </c>
    </row>
    <row r="34" ht="38" customHeight="1">
      <c r="A34" s="8" t="inlineStr">
        <is>
          <t>Bahay Tsinoy</t>
        </is>
      </c>
      <c r="B34" s="8" t="inlineStr">
        <is>
          <t>Intramuros ~8 km</t>
        </is>
      </c>
      <c r="C34" s="8" t="inlineStr">
        <is>
          <t>~28 min</t>
        </is>
      </c>
      <c r="D34" s="8" t="inlineStr">
        <is>
          <t>Chinese-Filipino history museum; AC, rarely busy</t>
        </is>
      </c>
      <c r="E34" s="8" t="inlineStr">
        <is>
          <t>₱200; 1.5hr</t>
        </is>
      </c>
      <c r="F34" s="8" t="inlineStr">
        <is>
          <t>☐</t>
        </is>
      </c>
    </row>
    <row r="35" ht="38" customHeight="1">
      <c r="A35" s="3" t="inlineStr">
        <is>
          <t>Cubao Expo</t>
        </is>
      </c>
      <c r="B35" s="3" t="inlineStr">
        <is>
          <t>~12 km NE</t>
        </is>
      </c>
      <c r="C35" s="3" t="inlineStr">
        <is>
          <t>~35 min</t>
        </is>
      </c>
      <c r="D35" s="3" t="inlineStr">
        <is>
          <t>Indie design + vinyl + vintage compound; locals' creative scene</t>
        </is>
      </c>
      <c r="E35" s="3" t="inlineStr">
        <is>
          <t>Free entry; weekday quieter</t>
        </is>
      </c>
      <c r="F35" s="3" t="inlineStr">
        <is>
          <t>☐</t>
        </is>
      </c>
    </row>
    <row r="36" ht="38" customHeight="1">
      <c r="A36" s="8" t="inlineStr">
        <is>
          <t>Marikina Shoe Museum</t>
        </is>
      </c>
      <c r="B36" s="8" t="inlineStr">
        <is>
          <t>~22 km E</t>
        </is>
      </c>
      <c r="C36" s="8" t="inlineStr">
        <is>
          <t>~55 min</t>
        </is>
      </c>
      <c r="D36" s="8" t="inlineStr">
        <is>
          <t>Imelda Marcos's 800 shoes + shoemaking history</t>
        </is>
      </c>
      <c r="E36" s="8" t="inlineStr">
        <is>
          <t>₱100; eccentric niche</t>
        </is>
      </c>
      <c r="F36" s="8" t="inlineStr">
        <is>
          <t>☐</t>
        </is>
      </c>
    </row>
    <row r="38" ht="20" customHeight="1">
      <c r="A38" s="45" t="inlineStr">
        <is>
          <t>WELLNESS (off-radar)</t>
        </is>
      </c>
    </row>
    <row r="39">
      <c r="A39" s="7" t="inlineStr">
        <is>
          <t>Place</t>
        </is>
      </c>
      <c r="B39" s="7" t="inlineStr">
        <is>
          <t>Distance</t>
        </is>
      </c>
      <c r="C39" s="7" t="inlineStr">
        <is>
          <t>Travel time</t>
        </is>
      </c>
      <c r="D39" s="7" t="inlineStr">
        <is>
          <t>Why it stays quiet</t>
        </is>
      </c>
      <c r="E39" s="7" t="inlineStr">
        <is>
          <t>Notes / When</t>
        </is>
      </c>
      <c r="F39" s="7" t="inlineStr">
        <is>
          <t>Tried?</t>
        </is>
      </c>
    </row>
    <row r="40" ht="38" customHeight="1">
      <c r="A40" s="8" t="inlineStr">
        <is>
          <t>The Farm at San Benito (day-pass)</t>
        </is>
      </c>
      <c r="B40" s="8" t="inlineStr">
        <is>
          <t>~100 km S (Batangas)</t>
        </is>
      </c>
      <c r="C40" s="8" t="inlineStr">
        <is>
          <t>~2.5 hr</t>
        </is>
      </c>
      <c r="D40" s="8" t="inlineStr">
        <is>
          <t>Award-winning wellness retreat day-pass; vegan lunch + pool</t>
        </is>
      </c>
      <c r="E40" s="8" t="inlineStr">
        <is>
          <t>Splurge ~₱8,500; book ahead</t>
        </is>
      </c>
      <c r="F40" s="8" t="inlineStr">
        <is>
          <t>☐</t>
        </is>
      </c>
    </row>
    <row r="41" ht="38" customHeight="1">
      <c r="A41" s="3" t="inlineStr">
        <is>
          <t>Mandala Spa (Boracay quality, Antipolo)</t>
        </is>
      </c>
      <c r="B41" s="3" t="inlineStr">
        <is>
          <t>~28 km E</t>
        </is>
      </c>
      <c r="C41" s="3" t="inlineStr">
        <is>
          <t>~75 min</t>
        </is>
      </c>
      <c r="D41" s="3" t="inlineStr">
        <is>
          <t>Hidden hillside spa retreat; pair w/ Pinto</t>
        </is>
      </c>
      <c r="E41" s="3" t="inlineStr">
        <is>
          <t>₱3,000-5,000</t>
        </is>
      </c>
      <c r="F41" s="3" t="inlineStr">
        <is>
          <t>☐</t>
        </is>
      </c>
    </row>
    <row r="42" ht="38" customHeight="1">
      <c r="A42" s="8" t="inlineStr">
        <is>
          <t>Nuat Thai (Salcedo branch)</t>
        </is>
      </c>
      <c r="B42" s="8" t="inlineStr">
        <is>
          <t>walk</t>
        </is>
      </c>
      <c r="C42" s="8" t="inlineStr">
        <is>
          <t>5 min</t>
        </is>
      </c>
      <c r="D42" s="8" t="inlineStr">
        <is>
          <t>Less busy than Greenbelt branch; weekday afternoon walk-in</t>
        </is>
      </c>
      <c r="E42" s="8" t="inlineStr">
        <is>
          <t>₱500-700</t>
        </is>
      </c>
      <c r="F42" s="8" t="inlineStr">
        <is>
          <t>☐</t>
        </is>
      </c>
    </row>
  </sheetData>
  <mergeCells count="8">
    <mergeCell ref="A24:F24"/>
    <mergeCell ref="A2:F2"/>
    <mergeCell ref="A16:F16"/>
    <mergeCell ref="A38:F38"/>
    <mergeCell ref="A10:F10"/>
    <mergeCell ref="A1:F1"/>
    <mergeCell ref="A4:F4"/>
    <mergeCell ref="A30:F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3" customWidth="1" min="3" max="3"/>
    <col width="12" customWidth="1" min="4" max="4"/>
    <col width="50" customWidth="1" min="5" max="5"/>
    <col width="6" customWidth="1" min="6" max="6"/>
    <col width="16" customWidth="1" min="7" max="7"/>
  </cols>
  <sheetData>
    <row r="1" ht="24" customHeight="1">
      <c r="A1" s="46" t="inlineStr">
        <is>
          <t>💵 Activity Pricing — Pick ONE Bundle Per Activity</t>
        </is>
      </c>
    </row>
    <row r="2" ht="40" customHeight="1">
      <c r="A2" s="29" t="inlineStr">
        <is>
          <t>⚠️ READ FIRST: For bundled activities PICK ONE PATH only — do NOT add rows. GROUP DAY TOURS bundle transport + ticket + lunch in ONE price.</t>
        </is>
      </c>
    </row>
    <row r="4">
      <c r="A4" s="42" t="inlineStr">
        <is>
          <t>🚌 TAGAYTAY DAY TRIP — PICK ONE BUNDLE</t>
        </is>
      </c>
    </row>
    <row r="5">
      <c r="A5" s="7" t="inlineStr">
        <is>
          <t>Item</t>
        </is>
      </c>
      <c r="B5" s="7" t="inlineStr">
        <is>
          <t>Channel</t>
        </is>
      </c>
      <c r="C5" s="7" t="inlineStr">
        <is>
          <t>Local PHP</t>
        </is>
      </c>
      <c r="D5" s="7" t="inlineStr">
        <is>
          <t>SGD (≈)</t>
        </is>
      </c>
      <c r="E5" s="7" t="inlineStr">
        <is>
          <t>Includes</t>
        </is>
      </c>
      <c r="F5" s="7" t="inlineStr">
        <is>
          <t>☐</t>
        </is>
      </c>
      <c r="G5" s="7" t="inlineStr">
        <is>
          <t>Confirmed price</t>
        </is>
      </c>
    </row>
    <row r="6" ht="32" customHeight="1">
      <c r="A6" s="47" t="inlineStr">
        <is>
          <t>PATH 1 — Klook GROUP DAY TOUR</t>
        </is>
      </c>
      <c r="B6" s="10" t="inlineStr">
        <is>
          <t>Klook shared van</t>
        </is>
      </c>
      <c r="C6" s="13" t="n">
        <v>2200</v>
      </c>
      <c r="D6" s="38">
        <f>C6/'12. Budget'!$B$3</f>
        <v/>
      </c>
      <c r="E6" s="8" t="inlineStr">
        <is>
          <t>ALL-IN: RT van + Picnic Grove + Sky Ranch entry + bulalo lunch + Sonya's. Group of 10-15. Cheapest path.</t>
        </is>
      </c>
      <c r="F6" s="10" t="inlineStr">
        <is>
          <t>☐</t>
        </is>
      </c>
      <c r="G6" s="10" t="inlineStr"/>
    </row>
    <row r="7" ht="32" customHeight="1">
      <c r="A7" s="48" t="inlineStr">
        <is>
          <t>PATH 2 — Private Grab car RT</t>
        </is>
      </c>
      <c r="B7" s="15" t="inlineStr">
        <is>
          <t>Direct Grab/private booking</t>
        </is>
      </c>
      <c r="C7" s="18" t="n">
        <v>4500</v>
      </c>
      <c r="D7" s="39">
        <f>C7/'12. Budget'!$B$3</f>
        <v/>
      </c>
      <c r="E7" s="3" t="inlineStr">
        <is>
          <t>Private car + driver RT (8hr). Entries + lunch NOT incl. Most flexible.</t>
        </is>
      </c>
      <c r="F7" s="15" t="inlineStr">
        <is>
          <t>☐</t>
        </is>
      </c>
      <c r="G7" s="15" t="inlineStr"/>
    </row>
    <row r="8" ht="32" customHeight="1">
      <c r="A8" s="47" t="inlineStr">
        <is>
          <t>PATH 3 — Self-drive rental</t>
        </is>
      </c>
      <c r="B8" s="10" t="inlineStr">
        <is>
          <t>Klook/Avis car rental</t>
        </is>
      </c>
      <c r="C8" s="13" t="n">
        <v>3500</v>
      </c>
      <c r="D8" s="38">
        <f>C8/'12. Budget'!$B$3</f>
        <v/>
      </c>
      <c r="E8" s="8" t="inlineStr">
        <is>
          <t>Self-drive small SUV 24hr + fuel + toll. NLEX-CAVITEX. Independence; need PH license.</t>
        </is>
      </c>
      <c r="F8" s="10" t="inlineStr">
        <is>
          <t>☐</t>
        </is>
      </c>
      <c r="G8" s="10" t="inlineStr"/>
    </row>
    <row r="9" ht="32" customHeight="1">
      <c r="A9" s="48" t="inlineStr">
        <is>
          <t>PATH 4 — DIY by P2P bus</t>
        </is>
      </c>
      <c r="B9" s="15" t="inlineStr">
        <is>
          <t>DLTB / Genesis bus from Cubao or PITX</t>
        </is>
      </c>
      <c r="C9" s="18" t="n">
        <v>250</v>
      </c>
      <c r="D9" s="39">
        <f>C9/'12. Budget'!$B$3</f>
        <v/>
      </c>
      <c r="E9" s="3" t="inlineStr">
        <is>
          <t>BUS ONLY one-way. Cheap, slow. Add jeepney/tricycle at Tagaytay. For backpackers.</t>
        </is>
      </c>
      <c r="F9" s="15" t="inlineStr">
        <is>
          <t>☐</t>
        </is>
      </c>
      <c r="G9" s="15" t="inlineStr"/>
    </row>
    <row r="10" ht="32" customHeight="1">
      <c r="A10" s="47" t="inlineStr">
        <is>
          <t>Optional: Sky Ranch ferris wheel</t>
        </is>
      </c>
      <c r="B10" s="10" t="inlineStr">
        <is>
          <t>on-site</t>
        </is>
      </c>
      <c r="C10" s="13" t="n">
        <v>250</v>
      </c>
      <c r="D10" s="38">
        <f>C10/'12. Budget'!$B$3</f>
        <v/>
      </c>
      <c r="E10" s="8" t="inlineStr">
        <is>
          <t>Single ride</t>
        </is>
      </c>
      <c r="F10" s="10" t="inlineStr">
        <is>
          <t>☐</t>
        </is>
      </c>
      <c r="G10" s="10" t="inlineStr"/>
    </row>
    <row r="11" ht="32" customHeight="1">
      <c r="A11" s="48" t="inlineStr">
        <is>
          <t>Optional: People's Park in the Sky entry</t>
        </is>
      </c>
      <c r="B11" s="15" t="inlineStr">
        <is>
          <t>on-site</t>
        </is>
      </c>
      <c r="C11" s="18" t="n">
        <v>100</v>
      </c>
      <c r="D11" s="39">
        <f>C11/'12. Budget'!$B$3</f>
        <v/>
      </c>
      <c r="E11" s="3" t="inlineStr">
        <is>
          <t>Entry only</t>
        </is>
      </c>
      <c r="F11" s="15" t="inlineStr">
        <is>
          <t>☐</t>
        </is>
      </c>
      <c r="G11" s="15" t="inlineStr"/>
    </row>
    <row r="12" ht="32" customHeight="1">
      <c r="A12" s="47" t="inlineStr">
        <is>
          <t>Optional: Taal Lake boat to volcano crater</t>
        </is>
      </c>
      <c r="B12" s="10" t="inlineStr">
        <is>
          <t>Talisay Lakeside Brgy</t>
        </is>
      </c>
      <c r="C12" s="13" t="n">
        <v>1800</v>
      </c>
      <c r="D12" s="38">
        <f>C12/'12. Budget'!$B$3</f>
        <v/>
      </c>
      <c r="E12" s="8" t="inlineStr">
        <is>
          <t>Bangka boat + island fee. Check PHIVOLCS volcano alert level FIRST.</t>
        </is>
      </c>
      <c r="F12" s="10" t="inlineStr">
        <is>
          <t>☐</t>
        </is>
      </c>
      <c r="G12" s="10" t="inlineStr"/>
    </row>
    <row r="14">
      <c r="A14" s="42" t="inlineStr">
        <is>
          <t>🏝️ CORREGIDOR DAY TRIP — PICK ONE BUNDLE</t>
        </is>
      </c>
    </row>
    <row r="15">
      <c r="A15" s="7" t="inlineStr">
        <is>
          <t>Item</t>
        </is>
      </c>
      <c r="B15" s="7" t="inlineStr">
        <is>
          <t>Channel</t>
        </is>
      </c>
      <c r="C15" s="7" t="inlineStr">
        <is>
          <t>Local PHP</t>
        </is>
      </c>
      <c r="D15" s="7" t="inlineStr">
        <is>
          <t>SGD (≈)</t>
        </is>
      </c>
      <c r="E15" s="7" t="inlineStr">
        <is>
          <t>Includes</t>
        </is>
      </c>
      <c r="F15" s="7" t="inlineStr">
        <is>
          <t>☐</t>
        </is>
      </c>
      <c r="G15" s="7" t="inlineStr">
        <is>
          <t>Confirmed price</t>
        </is>
      </c>
    </row>
    <row r="16" ht="32" customHeight="1">
      <c r="A16" s="47" t="inlineStr">
        <is>
          <t>PATH 1 — Sun Cruises full-day</t>
        </is>
      </c>
      <c r="B16" s="10" t="inlineStr">
        <is>
          <t>Sun Cruises (sole ferry operator)</t>
        </is>
      </c>
      <c r="C16" s="13" t="n">
        <v>2999</v>
      </c>
      <c r="D16" s="38">
        <f>C16/'12. Budget'!$B$3</f>
        <v/>
      </c>
      <c r="E16" s="8" t="inlineStr">
        <is>
          <t>RT ferry from ESPLANADE + tram tour + buffet lunch + guide. 06:30-15:30. Only practical path.</t>
        </is>
      </c>
      <c r="F16" s="10" t="inlineStr">
        <is>
          <t>☐</t>
        </is>
      </c>
      <c r="G16" s="10" t="inlineStr"/>
    </row>
    <row r="17" ht="32" customHeight="1">
      <c r="A17" s="48" t="inlineStr">
        <is>
          <t>PATH 2 — Overnight Corregidor</t>
        </is>
      </c>
      <c r="B17" s="15" t="inlineStr">
        <is>
          <t>Sun Cruises + Corregidor Inn</t>
        </is>
      </c>
      <c r="C17" s="18" t="n">
        <v>6500</v>
      </c>
      <c r="D17" s="39">
        <f>C17/'12. Budget'!$B$3</f>
        <v/>
      </c>
      <c r="E17" s="3" t="inlineStr">
        <is>
          <t>Tour + Corregidor Inn 1 night + meals. Sunset + lights-of-Manila view.</t>
        </is>
      </c>
      <c r="F17" s="15" t="inlineStr">
        <is>
          <t>☐</t>
        </is>
      </c>
      <c r="G17" s="15" t="inlineStr"/>
    </row>
    <row r="18" ht="32" customHeight="1">
      <c r="A18" s="47" t="inlineStr">
        <is>
          <t>Optional: Light &amp; Sound Show (Malinta Tunnel)</t>
        </is>
      </c>
      <c r="B18" s="10" t="inlineStr">
        <is>
          <t>on-site</t>
        </is>
      </c>
      <c r="C18" s="13" t="n">
        <v>200</v>
      </c>
      <c r="D18" s="38">
        <f>C18/'12. Budget'!$B$3</f>
        <v/>
      </c>
      <c r="E18" s="8" t="inlineStr">
        <is>
          <t>Add-on, 30min</t>
        </is>
      </c>
      <c r="F18" s="10" t="inlineStr">
        <is>
          <t>☐</t>
        </is>
      </c>
      <c r="G18" s="10" t="inlineStr"/>
    </row>
    <row r="20">
      <c r="A20" s="42" t="inlineStr">
        <is>
          <t>🚶 INTRAMUROS — PICK ONE BUNDLE</t>
        </is>
      </c>
    </row>
    <row r="21">
      <c r="A21" s="7" t="inlineStr">
        <is>
          <t>Item</t>
        </is>
      </c>
      <c r="B21" s="7" t="inlineStr">
        <is>
          <t>Channel</t>
        </is>
      </c>
      <c r="C21" s="7" t="inlineStr">
        <is>
          <t>Local PHP</t>
        </is>
      </c>
      <c r="D21" s="7" t="inlineStr">
        <is>
          <t>SGD (≈)</t>
        </is>
      </c>
      <c r="E21" s="7" t="inlineStr">
        <is>
          <t>Includes</t>
        </is>
      </c>
      <c r="F21" s="7" t="inlineStr">
        <is>
          <t>☐</t>
        </is>
      </c>
      <c r="G21" s="7" t="inlineStr">
        <is>
          <t>Confirmed price</t>
        </is>
      </c>
    </row>
    <row r="22" ht="32" customHeight="1">
      <c r="A22" s="47" t="inlineStr">
        <is>
          <t>PATH 1 — Self-walk + entries</t>
        </is>
      </c>
      <c r="B22" s="10" t="inlineStr">
        <is>
          <t>DIY</t>
        </is>
      </c>
      <c r="C22" s="13" t="n">
        <v>350</v>
      </c>
      <c r="D22" s="38">
        <f>C22/'12. Budget'!$B$3</f>
        <v/>
      </c>
      <c r="E22" s="8" t="inlineStr">
        <is>
          <t>Fort Santiago ₱75 + San Agustin ₱200 + Casa Manila ₱75. Walk between. Cheapest.</t>
        </is>
      </c>
      <c r="F22" s="10" t="inlineStr">
        <is>
          <t>☐</t>
        </is>
      </c>
      <c r="G22" s="10" t="inlineStr"/>
    </row>
    <row r="23" ht="32" customHeight="1">
      <c r="A23" s="48" t="inlineStr">
        <is>
          <t>PATH 2 — Bambike Eco-Tour</t>
        </is>
      </c>
      <c r="B23" s="15" t="inlineStr">
        <is>
          <t>Bambike Intramuros</t>
        </is>
      </c>
      <c r="C23" s="18" t="n">
        <v>1200</v>
      </c>
      <c r="D23" s="39">
        <f>C23/'12. Budget'!$B$3</f>
        <v/>
      </c>
      <c r="E23" s="3" t="inlineStr">
        <is>
          <t>Bamboo bike + guide + all entries 2.5hr. Most fun moderate-cost option.</t>
        </is>
      </c>
      <c r="F23" s="15" t="inlineStr">
        <is>
          <t>☐</t>
        </is>
      </c>
      <c r="G23" s="15" t="inlineStr"/>
    </row>
    <row r="24" ht="32" customHeight="1">
      <c r="A24" s="47" t="inlineStr">
        <is>
          <t>PATH 3 — Kalesa carriage hire</t>
        </is>
      </c>
      <c r="B24" s="10" t="inlineStr">
        <is>
          <t>Plaza San Luis</t>
        </is>
      </c>
      <c r="C24" s="13" t="n">
        <v>800</v>
      </c>
      <c r="D24" s="38">
        <f>C24/'12. Budget'!$B$3</f>
        <v/>
      </c>
      <c r="E24" s="8" t="inlineStr">
        <is>
          <t>1hr horse-drawn carriage tour. Tourist-y but classic. NEGOTIATE before boarding.</t>
        </is>
      </c>
      <c r="F24" s="10" t="inlineStr">
        <is>
          <t>☐</t>
        </is>
      </c>
      <c r="G24" s="10" t="inlineStr"/>
    </row>
    <row r="25" ht="32" customHeight="1">
      <c r="A25" s="48" t="inlineStr">
        <is>
          <t>PATH 4 — Old Manila Walks Intramuros tour</t>
        </is>
      </c>
      <c r="B25" s="15" t="inlineStr">
        <is>
          <t>Old Manila Walks</t>
        </is>
      </c>
      <c r="C25" s="18" t="n">
        <v>1500</v>
      </c>
      <c r="D25" s="39">
        <f>C25/'12. Budget'!$B$3</f>
        <v/>
      </c>
      <c r="E25" s="3" t="inlineStr">
        <is>
          <t>3hr guided walk + entries. Strong historian-led.</t>
        </is>
      </c>
      <c r="F25" s="15" t="inlineStr">
        <is>
          <t>☐</t>
        </is>
      </c>
      <c r="G25" s="15" t="inlineStr"/>
    </row>
    <row r="27">
      <c r="A27" s="42" t="inlineStr">
        <is>
          <t>🍜 BINONDO FOOD CRAWL — PICK ONE BUNDLE</t>
        </is>
      </c>
    </row>
    <row r="28">
      <c r="A28" s="7" t="inlineStr">
        <is>
          <t>Item</t>
        </is>
      </c>
      <c r="B28" s="7" t="inlineStr">
        <is>
          <t>Channel</t>
        </is>
      </c>
      <c r="C28" s="7" t="inlineStr">
        <is>
          <t>Local PHP</t>
        </is>
      </c>
      <c r="D28" s="7" t="inlineStr">
        <is>
          <t>SGD (≈)</t>
        </is>
      </c>
      <c r="E28" s="7" t="inlineStr">
        <is>
          <t>Includes</t>
        </is>
      </c>
      <c r="F28" s="7" t="inlineStr">
        <is>
          <t>☐</t>
        </is>
      </c>
      <c r="G28" s="7" t="inlineStr">
        <is>
          <t>Confirmed price</t>
        </is>
      </c>
    </row>
    <row r="29" ht="32" customHeight="1">
      <c r="A29" s="47" t="inlineStr">
        <is>
          <t>PATH 1 — Old Manila Walks Big Binondo Food Wok</t>
        </is>
      </c>
      <c r="B29" s="10" t="inlineStr">
        <is>
          <t>Old Manila Walks</t>
        </is>
      </c>
      <c r="C29" s="13" t="n">
        <v>1500</v>
      </c>
      <c r="D29" s="38">
        <f>C29/'12. Budget'!$B$3</f>
        <v/>
      </c>
      <c r="E29" s="8" t="inlineStr">
        <is>
          <t>4hr guided + 6-8 food stops. Most comprehensive.</t>
        </is>
      </c>
      <c r="F29" s="10" t="inlineStr">
        <is>
          <t>☐</t>
        </is>
      </c>
      <c r="G29" s="10" t="inlineStr"/>
    </row>
    <row r="30" ht="32" customHeight="1">
      <c r="A30" s="48" t="inlineStr">
        <is>
          <t>PATH 2 — Ivan ManDy independent</t>
        </is>
      </c>
      <c r="B30" s="15" t="inlineStr">
        <is>
          <t>@theoldmanilawalks</t>
        </is>
      </c>
      <c r="C30" s="18" t="n">
        <v>1800</v>
      </c>
      <c r="D30" s="39">
        <f>C30/'12. Budget'!$B$3</f>
        <v/>
      </c>
      <c r="E30" s="3" t="inlineStr">
        <is>
          <t>Premium small-group; books out fast.</t>
        </is>
      </c>
      <c r="F30" s="15" t="inlineStr">
        <is>
          <t>☐</t>
        </is>
      </c>
      <c r="G30" s="15" t="inlineStr"/>
    </row>
    <row r="31" ht="32" customHeight="1">
      <c r="A31" s="47" t="inlineStr">
        <is>
          <t>PATH 3 — DIY self-guided</t>
        </is>
      </c>
      <c r="B31" s="10" t="inlineStr">
        <is>
          <t>Walk</t>
        </is>
      </c>
      <c r="C31" s="13" t="n">
        <v>700</v>
      </c>
      <c r="D31" s="38">
        <f>C31/'12. Budget'!$B$3</f>
        <v/>
      </c>
      <c r="E31" s="8" t="inlineStr">
        <is>
          <t>Hit Wai Ying + Eng Bee Tin + Lord Stow's + Sincerity + Polland. ~₱700 food.</t>
        </is>
      </c>
      <c r="F31" s="10" t="inlineStr">
        <is>
          <t>☐</t>
        </is>
      </c>
      <c r="G31" s="10" t="inlineStr"/>
    </row>
    <row r="33">
      <c r="A33" s="42" t="inlineStr">
        <is>
          <t>💆 SPA — PICK ONE</t>
        </is>
      </c>
    </row>
    <row r="34">
      <c r="A34" s="7" t="inlineStr">
        <is>
          <t>Item</t>
        </is>
      </c>
      <c r="B34" s="7" t="inlineStr">
        <is>
          <t>Channel</t>
        </is>
      </c>
      <c r="C34" s="7" t="inlineStr">
        <is>
          <t>Local PHP</t>
        </is>
      </c>
      <c r="D34" s="7" t="inlineStr">
        <is>
          <t>SGD (≈)</t>
        </is>
      </c>
      <c r="E34" s="7" t="inlineStr">
        <is>
          <t>Includes</t>
        </is>
      </c>
      <c r="F34" s="7" t="inlineStr">
        <is>
          <t>☐</t>
        </is>
      </c>
      <c r="G34" s="7" t="inlineStr">
        <is>
          <t>Confirmed price</t>
        </is>
      </c>
    </row>
    <row r="35" ht="32" customHeight="1">
      <c r="A35" s="47" t="inlineStr">
        <is>
          <t>PATH 1 — Nuat Thai 60min foot reflex</t>
        </is>
      </c>
      <c r="B35" s="10" t="inlineStr">
        <is>
          <t>Nuat Thai walk-in</t>
        </is>
      </c>
      <c r="C35" s="13" t="n">
        <v>500</v>
      </c>
      <c r="D35" s="38">
        <f>C35/'12. Budget'!$B$3</f>
        <v/>
      </c>
      <c r="E35" s="8" t="inlineStr">
        <is>
          <t>60min foot. Cheap, reliable chain.</t>
        </is>
      </c>
      <c r="F35" s="10" t="inlineStr">
        <is>
          <t>☐</t>
        </is>
      </c>
      <c r="G35" s="10" t="inlineStr"/>
    </row>
    <row r="36" ht="32" customHeight="1">
      <c r="A36" s="48" t="inlineStr">
        <is>
          <t>PATH 2 — The Spa BGC 90min Swedish</t>
        </is>
      </c>
      <c r="B36" s="15" t="inlineStr">
        <is>
          <t>The Spa BGC</t>
        </is>
      </c>
      <c r="C36" s="18" t="n">
        <v>2200</v>
      </c>
      <c r="D36" s="39">
        <f>C36/'12. Budget'!$B$3</f>
        <v/>
      </c>
      <c r="E36" s="3" t="inlineStr">
        <is>
          <t>90min full body. Mid-range.</t>
        </is>
      </c>
      <c r="F36" s="15" t="inlineStr">
        <is>
          <t>☐</t>
        </is>
      </c>
      <c r="G36" s="15" t="inlineStr"/>
    </row>
    <row r="37" ht="32" customHeight="1">
      <c r="A37" s="47" t="inlineStr">
        <is>
          <t>PATH 3 — Dusit Devarana Spa 150min ritual</t>
        </is>
      </c>
      <c r="B37" s="10" t="inlineStr">
        <is>
          <t>Dusit Thani Manila</t>
        </is>
      </c>
      <c r="C37" s="13" t="n">
        <v>6000</v>
      </c>
      <c r="D37" s="38">
        <f>C37/'12. Budget'!$B$3</f>
        <v/>
      </c>
      <c r="E37" s="8" t="inlineStr">
        <is>
          <t>Hotel luxury spa. Splurge.</t>
        </is>
      </c>
      <c r="F37" s="10" t="inlineStr">
        <is>
          <t>☐</t>
        </is>
      </c>
      <c r="G37" s="10" t="inlineStr"/>
    </row>
  </sheetData>
  <mergeCells count="7">
    <mergeCell ref="A14:G14"/>
    <mergeCell ref="A1:G1"/>
    <mergeCell ref="A27:G27"/>
    <mergeCell ref="A4:G4"/>
    <mergeCell ref="A20:G20"/>
    <mergeCell ref="A2:G2"/>
    <mergeCell ref="A33:G3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6" customWidth="1" min="4" max="4"/>
    <col width="22" customWidth="1" min="5" max="5"/>
  </cols>
  <sheetData>
    <row r="1" ht="24" customHeight="1">
      <c r="A1" s="49" t="inlineStr">
        <is>
          <t>🗺️ Distance &amp; Travel-Time Reference Matrix</t>
        </is>
      </c>
    </row>
    <row r="4">
      <c r="A4" s="7" t="inlineStr">
        <is>
          <t>From</t>
        </is>
      </c>
      <c r="B4" s="7" t="inlineStr">
        <is>
          <t>To</t>
        </is>
      </c>
      <c r="C4" s="7" t="inlineStr">
        <is>
          <t>Distance (km)</t>
        </is>
      </c>
      <c r="D4" s="7" t="inlineStr">
        <is>
          <t>Travel time (min)</t>
        </is>
      </c>
      <c r="E4" s="7" t="inlineStr">
        <is>
          <t>Typical fare</t>
        </is>
      </c>
    </row>
    <row r="5">
      <c r="A5" s="8" t="inlineStr">
        <is>
          <t>NAIA Airport</t>
        </is>
      </c>
      <c r="B5" s="8" t="inlineStr">
        <is>
          <t>Makati CBD hotels</t>
        </is>
      </c>
      <c r="C5" s="50" t="n">
        <v>8.5</v>
      </c>
      <c r="D5" s="51" t="n">
        <v>35</v>
      </c>
      <c r="E5" s="52" t="n">
        <v>350</v>
      </c>
    </row>
    <row r="6">
      <c r="A6" s="3" t="inlineStr">
        <is>
          <t>Makati CBD</t>
        </is>
      </c>
      <c r="B6" s="3" t="inlineStr">
        <is>
          <t>Intramuros / Fort Santiago</t>
        </is>
      </c>
      <c r="C6" s="53" t="n">
        <v>7.5</v>
      </c>
      <c r="D6" s="54" t="n">
        <v>28</v>
      </c>
      <c r="E6" s="55" t="n">
        <v>280</v>
      </c>
    </row>
    <row r="7">
      <c r="A7" s="8" t="inlineStr">
        <is>
          <t>Makati CBD</t>
        </is>
      </c>
      <c r="B7" s="8" t="inlineStr">
        <is>
          <t>Rizal Park / National Museum</t>
        </is>
      </c>
      <c r="C7" s="50" t="n">
        <v>6.2</v>
      </c>
      <c r="D7" s="51" t="n">
        <v>25</v>
      </c>
      <c r="E7" s="52" t="n">
        <v>250</v>
      </c>
    </row>
    <row r="8">
      <c r="A8" s="3" t="inlineStr">
        <is>
          <t>Makati CBD</t>
        </is>
      </c>
      <c r="B8" s="3" t="inlineStr">
        <is>
          <t>Binondo Chinatown</t>
        </is>
      </c>
      <c r="C8" s="53" t="n">
        <v>8.199999999999999</v>
      </c>
      <c r="D8" s="54" t="n">
        <v>30</v>
      </c>
      <c r="E8" s="55" t="n">
        <v>320</v>
      </c>
    </row>
    <row r="9">
      <c r="A9" s="8" t="inlineStr">
        <is>
          <t>Makati CBD</t>
        </is>
      </c>
      <c r="B9" s="8" t="inlineStr">
        <is>
          <t>Quiapo Church</t>
        </is>
      </c>
      <c r="C9" s="50" t="n">
        <v>8</v>
      </c>
      <c r="D9" s="51" t="n">
        <v>28</v>
      </c>
      <c r="E9" s="52" t="n">
        <v>320</v>
      </c>
    </row>
    <row r="10">
      <c r="A10" s="3" t="inlineStr">
        <is>
          <t>Makati CBD</t>
        </is>
      </c>
      <c r="B10" s="3" t="inlineStr">
        <is>
          <t>Manila Baywalk (Roxas Blvd)</t>
        </is>
      </c>
      <c r="C10" s="53" t="n">
        <v>6.5</v>
      </c>
      <c r="D10" s="54" t="n">
        <v>22</v>
      </c>
      <c r="E10" s="55" t="n">
        <v>280</v>
      </c>
    </row>
    <row r="11">
      <c r="A11" s="8" t="inlineStr">
        <is>
          <t>Makati CBD</t>
        </is>
      </c>
      <c r="B11" s="8" t="inlineStr">
        <is>
          <t>BGC Bonifacio High Street</t>
        </is>
      </c>
      <c r="C11" s="50" t="n">
        <v>4</v>
      </c>
      <c r="D11" s="51" t="n">
        <v>18</v>
      </c>
      <c r="E11" s="52" t="n">
        <v>200</v>
      </c>
    </row>
    <row r="12">
      <c r="A12" s="3" t="inlineStr">
        <is>
          <t>Makati CBD</t>
        </is>
      </c>
      <c r="B12" s="3" t="inlineStr">
        <is>
          <t>Poblacion bars</t>
        </is>
      </c>
      <c r="C12" s="53" t="n">
        <v>0.5</v>
      </c>
      <c r="D12" s="54" t="n">
        <v>5</v>
      </c>
      <c r="E12" s="55" t="n">
        <v>100</v>
      </c>
    </row>
    <row r="13">
      <c r="A13" s="8" t="inlineStr">
        <is>
          <t>Makati CBD</t>
        </is>
      </c>
      <c r="B13" s="8" t="inlineStr">
        <is>
          <t>Tagaytay (Picnic Grove)</t>
        </is>
      </c>
      <c r="C13" s="50" t="n">
        <v>60</v>
      </c>
      <c r="D13" s="51" t="n">
        <v>105</v>
      </c>
      <c r="E13" s="52" t="n">
        <v>3500</v>
      </c>
    </row>
    <row r="14">
      <c r="A14" s="3" t="inlineStr">
        <is>
          <t>Makati CBD</t>
        </is>
      </c>
      <c r="B14" s="3" t="inlineStr">
        <is>
          <t>Corregidor Ferry Terminal (ESPLANADE)</t>
        </is>
      </c>
      <c r="C14" s="53" t="n">
        <v>7</v>
      </c>
      <c r="D14" s="54" t="n">
        <v>25</v>
      </c>
      <c r="E14" s="55" t="n">
        <v>300</v>
      </c>
    </row>
    <row r="15">
      <c r="A15" s="8" t="inlineStr">
        <is>
          <t>Makati CBD</t>
        </is>
      </c>
      <c r="B15" s="8" t="inlineStr">
        <is>
          <t>Pinto Art Museum Antipolo</t>
        </is>
      </c>
      <c r="C15" s="50" t="n">
        <v>28</v>
      </c>
      <c r="D15" s="51" t="n">
        <v>75</v>
      </c>
      <c r="E15" s="52" t="n">
        <v>850</v>
      </c>
    </row>
    <row r="16">
      <c r="A16" s="3" t="inlineStr">
        <is>
          <t>Makati CBD</t>
        </is>
      </c>
      <c r="B16" s="3" t="inlineStr">
        <is>
          <t>Manila Chinese Cemetery</t>
        </is>
      </c>
      <c r="C16" s="53" t="n">
        <v>11</v>
      </c>
      <c r="D16" s="54" t="n">
        <v>35</v>
      </c>
      <c r="E16" s="55" t="n">
        <v>400</v>
      </c>
    </row>
    <row r="17">
      <c r="A17" s="8" t="inlineStr">
        <is>
          <t>Makati CBD</t>
        </is>
      </c>
      <c r="B17" s="8" t="inlineStr">
        <is>
          <t>QC (Romulo Café original)</t>
        </is>
      </c>
      <c r="C17" s="50" t="n">
        <v>12</v>
      </c>
      <c r="D17" s="51" t="n">
        <v>40</v>
      </c>
      <c r="E17" s="52" t="n">
        <v>450</v>
      </c>
    </row>
    <row r="18">
      <c r="A18" s="3" t="inlineStr">
        <is>
          <t>Makati CBD</t>
        </is>
      </c>
      <c r="B18" s="3" t="inlineStr">
        <is>
          <t>SM MOA (Mall of Asia)</t>
        </is>
      </c>
      <c r="C18" s="53" t="n">
        <v>7.5</v>
      </c>
      <c r="D18" s="54" t="n">
        <v>25</v>
      </c>
      <c r="E18" s="55" t="n">
        <v>300</v>
      </c>
    </row>
    <row r="19">
      <c r="A19" s="8" t="inlineStr">
        <is>
          <t>Makati CBD (Ayala / Poblacion side)</t>
        </is>
      </c>
      <c r="B19" s="8" t="inlineStr">
        <is>
          <t>Intramuros (Walled City)</t>
        </is>
      </c>
      <c r="C19" s="50" t="n">
        <v>7.5</v>
      </c>
      <c r="D19" s="51" t="n">
        <v>25</v>
      </c>
      <c r="E19" s="52" t="inlineStr"/>
    </row>
    <row r="20">
      <c r="A20" s="3" t="inlineStr">
        <is>
          <t>Makati CBD (Ayala / Poblacion side)</t>
        </is>
      </c>
      <c r="B20" s="3" t="inlineStr">
        <is>
          <t>Rizal Park (Luneta)</t>
        </is>
      </c>
      <c r="C20" s="53" t="n">
        <v>6</v>
      </c>
      <c r="D20" s="54" t="n">
        <v>22</v>
      </c>
      <c r="E20" s="55" t="inlineStr"/>
    </row>
    <row r="21">
      <c r="A21" s="8" t="inlineStr">
        <is>
          <t>Makati CBD (Ayala / Poblacion side)</t>
        </is>
      </c>
      <c r="B21" s="8" t="inlineStr">
        <is>
          <t>National Museum Complex</t>
        </is>
      </c>
      <c r="C21" s="50" t="n">
        <v>6.2</v>
      </c>
      <c r="D21" s="51" t="n">
        <v>22</v>
      </c>
      <c r="E21" s="52" t="inlineStr"/>
    </row>
    <row r="22">
      <c r="A22" s="3" t="inlineStr">
        <is>
          <t>Makati CBD (Ayala / Poblacion side)</t>
        </is>
      </c>
      <c r="B22" s="3" t="inlineStr">
        <is>
          <t>Binondo (Chinatown)</t>
        </is>
      </c>
      <c r="C22" s="53" t="n">
        <v>8.199999999999999</v>
      </c>
      <c r="D22" s="54" t="n">
        <v>28</v>
      </c>
      <c r="E22" s="55" t="inlineStr"/>
    </row>
    <row r="23">
      <c r="A23" s="8" t="inlineStr">
        <is>
          <t>Makati CBD (Ayala / Poblacion side)</t>
        </is>
      </c>
      <c r="B23" s="8" t="inlineStr">
        <is>
          <t>Manila Cathedral</t>
        </is>
      </c>
      <c r="C23" s="50" t="n">
        <v>7.5</v>
      </c>
      <c r="D23" s="51" t="n">
        <v>25</v>
      </c>
      <c r="E23" s="52" t="inlineStr"/>
    </row>
    <row r="24">
      <c r="A24" s="3" t="inlineStr">
        <is>
          <t>Makati CBD (Ayala / Poblacion side)</t>
        </is>
      </c>
      <c r="B24" s="3" t="inlineStr">
        <is>
          <t>San Agustin Church</t>
        </is>
      </c>
      <c r="C24" s="53" t="n">
        <v>7.5</v>
      </c>
      <c r="D24" s="54" t="n">
        <v>25</v>
      </c>
      <c r="E24" s="55" t="inlineStr"/>
    </row>
    <row r="25">
      <c r="A25" s="8" t="inlineStr">
        <is>
          <t>Makati CBD (Ayala / Poblacion side)</t>
        </is>
      </c>
      <c r="B25" s="8" t="inlineStr">
        <is>
          <t>Ayala Museum</t>
        </is>
      </c>
      <c r="C25" s="50" t="n">
        <v>1.5</v>
      </c>
      <c r="D25" s="51" t="n">
        <v>8</v>
      </c>
      <c r="E25" s="52" t="inlineStr"/>
    </row>
    <row r="26">
      <c r="A26" s="3" t="inlineStr">
        <is>
          <t>Makati CBD (Ayala / Poblacion side)</t>
        </is>
      </c>
      <c r="B26" s="3" t="inlineStr">
        <is>
          <t>Bonifacio Global City (BGC)</t>
        </is>
      </c>
      <c r="C26" s="53" t="n">
        <v>4</v>
      </c>
      <c r="D26" s="54" t="n">
        <v>18</v>
      </c>
      <c r="E26" s="55" t="inlineStr"/>
    </row>
    <row r="27">
      <c r="A27" s="8" t="inlineStr">
        <is>
          <t>Makati CBD (Ayala / Poblacion side)</t>
        </is>
      </c>
      <c r="B27" s="8" t="inlineStr">
        <is>
          <t>Manila Baywalk + Sunset</t>
        </is>
      </c>
      <c r="C27" s="50" t="n">
        <v>6.5</v>
      </c>
      <c r="D27" s="51" t="n">
        <v>22</v>
      </c>
      <c r="E27" s="52" t="inlineStr"/>
    </row>
    <row r="28">
      <c r="A28" s="3" t="inlineStr">
        <is>
          <t>Makati CBD (Ayala / Poblacion side)</t>
        </is>
      </c>
      <c r="B28" s="3" t="inlineStr">
        <is>
          <t>Tagaytay (Taal Volcano view)</t>
        </is>
      </c>
      <c r="C28" s="53" t="n">
        <v>60</v>
      </c>
      <c r="D28" s="54" t="n">
        <v>105</v>
      </c>
      <c r="E28" s="55" t="inlineStr"/>
    </row>
    <row r="29">
      <c r="A29" s="8" t="inlineStr">
        <is>
          <t>Makati CBD (Ayala / Poblacion side)</t>
        </is>
      </c>
      <c r="B29" s="8" t="inlineStr">
        <is>
          <t>Corregidor Island</t>
        </is>
      </c>
      <c r="C29" s="50" t="n">
        <v>45</v>
      </c>
      <c r="D29" s="51" t="n">
        <v>90</v>
      </c>
      <c r="E29" s="52" t="inlineStr"/>
    </row>
    <row r="30">
      <c r="A30" s="3" t="inlineStr">
        <is>
          <t>Makati CBD (Ayala / Poblacion side)</t>
        </is>
      </c>
      <c r="B30" s="3" t="inlineStr">
        <is>
          <t>Escolta Street</t>
        </is>
      </c>
      <c r="C30" s="53" t="n">
        <v>8</v>
      </c>
      <c r="D30" s="54" t="n">
        <v>28</v>
      </c>
      <c r="E30" s="55" t="inlineStr"/>
    </row>
    <row r="31">
      <c r="A31" s="8" t="inlineStr">
        <is>
          <t>Makati CBD (Ayala / Poblacion side)</t>
        </is>
      </c>
      <c r="B31" s="8" t="inlineStr">
        <is>
          <t>Poblacion (Makati nightlife district)</t>
        </is>
      </c>
      <c r="C31" s="50" t="n">
        <v>0.5</v>
      </c>
      <c r="D31" s="51" t="n">
        <v>5</v>
      </c>
      <c r="E31" s="52" t="inlineStr"/>
    </row>
    <row r="32">
      <c r="A32" s="3" t="inlineStr">
        <is>
          <t>Makati CBD (Ayala / Poblacion side)</t>
        </is>
      </c>
      <c r="B32" s="3" t="inlineStr">
        <is>
          <t>Pinto Art Museum (Antipolo)</t>
        </is>
      </c>
      <c r="C32" s="53" t="n">
        <v>28</v>
      </c>
      <c r="D32" s="54" t="n">
        <v>75</v>
      </c>
      <c r="E32" s="55" t="inlineStr"/>
    </row>
    <row r="34" ht="20" customHeight="1">
      <c r="A34" s="56" t="inlineStr">
        <is>
          <t>🚕 Transport Tips</t>
        </is>
      </c>
    </row>
    <row r="35" ht="22" customHeight="1">
      <c r="A35" s="3" t="inlineStr">
        <is>
          <t>• Grab &gt;&gt; regular taxi. Predictable fare, no haggling, GCash payment. Surge during rain — wait 5min.</t>
        </is>
      </c>
    </row>
    <row r="36" ht="22" customHeight="1">
      <c r="A36" s="3" t="inlineStr">
        <is>
          <t>• EDSA traffic worst Mon-Fri 16:30-20:00 and Sun 19:00-22:00 (return-to-city). Plan around.</t>
        </is>
      </c>
    </row>
    <row r="37" ht="22" customHeight="1">
      <c r="A37" s="3" t="inlineStr">
        <is>
          <t>• Jeepney for adventure only — minimal English, ₱13-20 fixed. Don't try with luggage.</t>
        </is>
      </c>
    </row>
    <row r="38" ht="22" customHeight="1">
      <c r="A38" s="3" t="inlineStr">
        <is>
          <t>• Metro Manila Skyway costs ₱65-200 toll — Grab driver may ask cash for toll; OK to add to fare.</t>
        </is>
      </c>
    </row>
    <row r="39" ht="22" customHeight="1">
      <c r="A39" s="3" t="inlineStr">
        <is>
          <t>• NAIA inter-terminal shuttle is FREE — pink bus loops T1↔T2↔T3↔T4 every 15 min.</t>
        </is>
      </c>
    </row>
    <row r="40" ht="22" customHeight="1">
      <c r="A40" s="3" t="inlineStr">
        <is>
          <t>• Tagaytay private car ₱3,500-4,500 RT; avoid Sat morning outbound traffic by leaving by 07:00.</t>
        </is>
      </c>
    </row>
    <row r="41" ht="22" customHeight="1">
      <c r="A41" s="3" t="inlineStr">
        <is>
          <t>• P2P bus to Tagaytay (DLTB/Genesis) ₱250 from Cubao or PITX — slow but cheap.</t>
        </is>
      </c>
    </row>
  </sheetData>
  <mergeCells count="9">
    <mergeCell ref="A39:E39"/>
    <mergeCell ref="A34:E34"/>
    <mergeCell ref="A35:E35"/>
    <mergeCell ref="A38:E38"/>
    <mergeCell ref="A41:E41"/>
    <mergeCell ref="A1:E1"/>
    <mergeCell ref="A37:E37"/>
    <mergeCell ref="A36:E36"/>
    <mergeCell ref="A40:E4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 ht="24" customHeight="1">
      <c r="A1" s="1" t="inlineStr">
        <is>
          <t>💰 Budget Estimate per Person</t>
        </is>
      </c>
    </row>
    <row r="3">
      <c r="A3" s="57" t="inlineStr">
        <is>
          <t>Exchange rate (PHP per 1 SGD)</t>
        </is>
      </c>
      <c r="B3" s="58" t="n">
        <v>43</v>
      </c>
      <c r="C3" s="59" t="inlineStr">
        <is>
          <t>← edit to update all SGD figures</t>
        </is>
      </c>
    </row>
    <row r="5">
      <c r="A5" s="7" t="inlineStr">
        <is>
          <t>Category</t>
        </is>
      </c>
      <c r="B5" s="7" t="inlineStr">
        <is>
          <t>PHP (low)</t>
        </is>
      </c>
      <c r="C5" s="7" t="inlineStr">
        <is>
          <t>PHP (high)</t>
        </is>
      </c>
      <c r="D5" s="7" t="inlineStr">
        <is>
          <t>SGD (low)</t>
        </is>
      </c>
      <c r="E5" s="7" t="inlineStr">
        <is>
          <t>SGD (high)</t>
        </is>
      </c>
    </row>
    <row r="6">
      <c r="A6" s="60" t="inlineStr">
        <is>
          <t>Food (5 days)</t>
        </is>
      </c>
      <c r="B6" s="61" t="n">
        <v>7500</v>
      </c>
      <c r="C6" s="61" t="n">
        <v>14000</v>
      </c>
      <c r="D6" s="62">
        <f>B6/$B$3</f>
        <v/>
      </c>
      <c r="E6" s="62">
        <f>C6/$B$3</f>
        <v/>
      </c>
    </row>
    <row r="7">
      <c r="A7" s="60" t="inlineStr">
        <is>
          <t>Transport — Grab + day trip</t>
        </is>
      </c>
      <c r="B7" s="61" t="n">
        <v>4500</v>
      </c>
      <c r="C7" s="61" t="n">
        <v>7000</v>
      </c>
      <c r="D7" s="62">
        <f>B7/$B$3</f>
        <v/>
      </c>
      <c r="E7" s="62">
        <f>C7/$B$3</f>
        <v/>
      </c>
    </row>
    <row r="8">
      <c r="A8" s="60" t="inlineStr">
        <is>
          <t>Activities + entries</t>
        </is>
      </c>
      <c r="B8" s="61" t="n">
        <v>3000</v>
      </c>
      <c r="C8" s="61" t="n">
        <v>5500</v>
      </c>
      <c r="D8" s="62">
        <f>B8/$B$3</f>
        <v/>
      </c>
      <c r="E8" s="62">
        <f>C8/$B$3</f>
        <v/>
      </c>
    </row>
    <row r="9">
      <c r="A9" s="60" t="inlineStr">
        <is>
          <t>Spas + wellness</t>
        </is>
      </c>
      <c r="B9" s="61" t="n">
        <v>1500</v>
      </c>
      <c r="C9" s="61" t="n">
        <v>5000</v>
      </c>
      <c r="D9" s="62">
        <f>B9/$B$3</f>
        <v/>
      </c>
      <c r="E9" s="62">
        <f>C9/$B$3</f>
        <v/>
      </c>
    </row>
    <row r="10">
      <c r="A10" s="60" t="inlineStr">
        <is>
          <t>Nightlife (optional)</t>
        </is>
      </c>
      <c r="B10" s="61" t="n">
        <v>0</v>
      </c>
      <c r="C10" s="61" t="n">
        <v>2500</v>
      </c>
      <c r="D10" s="62">
        <f>B10/$B$3</f>
        <v/>
      </c>
      <c r="E10" s="62">
        <f>C10/$B$3</f>
        <v/>
      </c>
    </row>
    <row r="11">
      <c r="A11" s="60" t="inlineStr">
        <is>
          <t>SIM / data</t>
        </is>
      </c>
      <c r="B11" s="61" t="n">
        <v>400</v>
      </c>
      <c r="C11" s="61" t="n">
        <v>800</v>
      </c>
      <c r="D11" s="62">
        <f>B11/$B$3</f>
        <v/>
      </c>
      <c r="E11" s="62">
        <f>C11/$B$3</f>
        <v/>
      </c>
    </row>
    <row r="12">
      <c r="A12" s="60" t="inlineStr">
        <is>
          <t>Pasalubong / souvenirs</t>
        </is>
      </c>
      <c r="B12" s="61" t="n">
        <v>1500</v>
      </c>
      <c r="C12" s="61" t="n">
        <v>4000</v>
      </c>
      <c r="D12" s="62">
        <f>B12/$B$3</f>
        <v/>
      </c>
      <c r="E12" s="62">
        <f>C12/$B$3</f>
        <v/>
      </c>
    </row>
    <row r="13">
      <c r="A13" s="63" t="inlineStr">
        <is>
          <t>Ground costs subtotal</t>
        </is>
      </c>
      <c r="B13" s="64">
        <f>SUM(B6:B12)</f>
        <v/>
      </c>
      <c r="C13" s="64">
        <f>SUM(C6:C12)</f>
        <v/>
      </c>
      <c r="D13" s="65">
        <f>B13/$B$3</f>
        <v/>
      </c>
      <c r="E13" s="65">
        <f>C13/$B$3</f>
        <v/>
      </c>
    </row>
    <row r="15" ht="20" customHeight="1">
      <c r="A15" s="56" t="inlineStr">
        <is>
          <t>Flight &amp; hotel (direct SGD)</t>
        </is>
      </c>
    </row>
    <row r="16">
      <c r="A16" s="7" t="inlineStr">
        <is>
          <t>Category</t>
        </is>
      </c>
      <c r="B16" s="7" t="inlineStr"/>
      <c r="C16" s="7" t="inlineStr"/>
      <c r="D16" s="7" t="inlineStr">
        <is>
          <t>SGD (low)</t>
        </is>
      </c>
      <c r="E16" s="7" t="inlineStr">
        <is>
          <t>SGD (high)</t>
        </is>
      </c>
    </row>
    <row r="17">
      <c r="A17" s="60" t="inlineStr">
        <is>
          <t>Flights return</t>
        </is>
      </c>
      <c r="B17" s="60" t="n"/>
      <c r="C17" s="60" t="n"/>
      <c r="D17" s="66" t="n">
        <v>60</v>
      </c>
      <c r="E17" s="66" t="n">
        <v>180</v>
      </c>
    </row>
    <row r="18">
      <c r="A18" s="60" t="inlineStr">
        <is>
          <t>Hotel (4 nights)</t>
        </is>
      </c>
      <c r="B18" s="60" t="n"/>
      <c r="C18" s="60" t="n"/>
      <c r="D18" s="66" t="n">
        <v>140</v>
      </c>
      <c r="E18" s="66" t="n">
        <v>1200</v>
      </c>
    </row>
    <row r="19">
      <c r="A19" s="67" t="inlineStr">
        <is>
          <t>GRAND TOTAL (per person)</t>
        </is>
      </c>
      <c r="B19" s="67" t="n"/>
      <c r="C19" s="67" t="n"/>
      <c r="D19" s="68">
        <f>D13+D17+D18</f>
        <v/>
      </c>
      <c r="E19" s="68">
        <f>E13+E17+E18</f>
        <v/>
      </c>
    </row>
  </sheetData>
  <mergeCells count="2">
    <mergeCell ref="A15:E15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</cols>
  <sheetData>
    <row r="1" ht="24" customHeight="1">
      <c r="A1" s="1" t="inlineStr">
        <is>
          <t>🧭 Practical Info</t>
        </is>
      </c>
    </row>
    <row r="3" ht="24" customHeight="1">
      <c r="A3" s="2" t="inlineStr">
        <is>
          <t>Visa (PH passport)</t>
        </is>
      </c>
      <c r="B3" s="3" t="inlineStr">
        <is>
          <t>Domestic travel — none. Show valid government ID (PH passport, UMID, driver's license, PRC) for check-in.</t>
        </is>
      </c>
    </row>
    <row r="4" ht="24" customHeight="1">
      <c r="A4" s="2" t="inlineStr">
        <is>
          <t>Passport/ID</t>
        </is>
      </c>
      <c r="B4" s="3" t="inlineStr">
        <is>
          <t>PH passport or any valid government-issued photo ID. Passport not required for domestic.</t>
        </is>
      </c>
    </row>
    <row r="5" ht="24" customHeight="1">
      <c r="A5" s="2" t="inlineStr">
        <is>
          <t>Hotel booking proof</t>
        </is>
      </c>
      <c r="B5" s="3" t="inlineStr">
        <is>
          <t>Have on phone — sometimes asked at hotel check-in for walk-ins.</t>
        </is>
      </c>
    </row>
    <row r="6" ht="24" customHeight="1">
      <c r="A6" s="2" t="inlineStr">
        <is>
          <t>Currency</t>
        </is>
      </c>
      <c r="B6" s="3" t="inlineStr">
        <is>
          <t>PHP only. USD/SGD not accepted outside hotels/large malls.</t>
        </is>
      </c>
    </row>
    <row r="7" ht="24" customHeight="1">
      <c r="A7" s="2" t="inlineStr">
        <is>
          <t>Exchange rate</t>
        </is>
      </c>
      <c r="B7" s="3" t="inlineStr">
        <is>
          <t>~43 PHP per 1 SGD (recheck XE.com; volatile 41-45)</t>
        </is>
      </c>
    </row>
    <row r="8" ht="24" customHeight="1">
      <c r="A8" s="2" t="inlineStr">
        <is>
          <t>Best ATMs</t>
        </is>
      </c>
      <c r="B8" s="3" t="inlineStr">
        <is>
          <t>BPI, BDO, Metrobank. Fee ₱200-250/withdrawal. AVOID generic Euronet ATMs.</t>
        </is>
      </c>
    </row>
    <row r="9" ht="24" customHeight="1">
      <c r="A9" s="2" t="inlineStr">
        <is>
          <t>Cards</t>
        </is>
      </c>
      <c r="B9" s="3" t="inlineStr">
        <is>
          <t>Visa/MC at hotels, malls, mid+ restaurants. AmEx limited. Cash for jeepney, market, Binondo, Quiapo.</t>
        </is>
      </c>
    </row>
    <row r="10" ht="24" customHeight="1">
      <c r="A10" s="2" t="inlineStr">
        <is>
          <t>Cash bring</t>
        </is>
      </c>
      <c r="B10" s="3" t="inlineStr">
        <is>
          <t>₱2-3k/day for street/market — Binondo/Quiapo cash-heavy.</t>
        </is>
      </c>
    </row>
    <row r="11" ht="24" customHeight="1">
      <c r="A11" s="2" t="inlineStr">
        <is>
          <t>Tipping</t>
        </is>
      </c>
      <c r="B11" s="3" t="inlineStr">
        <is>
          <t>Service charge often auto-added 10%. If not, 5-10% sit-down. Spa ₱50-100. Grab — round up.</t>
        </is>
      </c>
    </row>
    <row r="12" ht="24" customHeight="1">
      <c r="A12" s="2" t="inlineStr">
        <is>
          <t>SIM/eSIM</t>
        </is>
      </c>
      <c r="B12" s="3" t="inlineStr">
        <is>
          <t>Globe or Smart tourist SIM at NAIA arrival ₱500-1000 (5-10GB, 5-7 days). Or Klook/Airalo eSIM ~SGD 8-12.</t>
        </is>
      </c>
    </row>
    <row r="13" ht="24" customHeight="1">
      <c r="A13" s="2" t="inlineStr">
        <is>
          <t>Power</t>
        </is>
      </c>
      <c r="B13" s="3" t="inlineStr">
        <is>
          <t>220V/60Hz. Type A/B/C plugs (US 2-pin fits). SG/UK Type G NOT compatible — bring adaptor.</t>
        </is>
      </c>
    </row>
    <row r="14" ht="24" customHeight="1">
      <c r="A14" s="2" t="inlineStr">
        <is>
          <t>Tap water</t>
        </is>
      </c>
      <c r="B14" s="3" t="inlineStr">
        <is>
          <t>NOT potable. Bottled only. Hotels usually supply 2 bottles/day.</t>
        </is>
      </c>
    </row>
    <row r="15" ht="24" customHeight="1">
      <c r="A15" s="2" t="inlineStr">
        <is>
          <t>Weather May-Jun</t>
        </is>
      </c>
      <c r="B15" s="3" t="inlineStr">
        <is>
          <t>28-34°C, humidity 75-90%. Heat index can exceed 42°C midday. Habagat onset = afternoon storms.</t>
        </is>
      </c>
    </row>
    <row r="16" ht="24" customHeight="1">
      <c r="A16" s="2" t="inlineStr">
        <is>
          <t>Sun protection</t>
        </is>
      </c>
      <c r="B16" s="3" t="inlineStr">
        <is>
          <t>SPF 50+, sunglasses, hat. Manila sun is fierce 10:00-15:00.</t>
        </is>
      </c>
    </row>
    <row r="17" ht="24" customHeight="1">
      <c r="A17" s="2" t="inlineStr">
        <is>
          <t>Dress code (churches)</t>
        </is>
      </c>
      <c r="B17" s="3" t="inlineStr">
        <is>
          <t>Quiapo / Manila Cathedral / San Agustin: covered shoulders + knees. Carry light shawl.</t>
        </is>
      </c>
    </row>
    <row r="18" ht="24" customHeight="1">
      <c r="A18" s="2" t="inlineStr">
        <is>
          <t>Apps to install</t>
        </is>
      </c>
      <c r="B18" s="3" t="inlineStr">
        <is>
          <t>Grab, GCash, Foodpanda, Waze, Google Maps offline Manila, PAGASA, AccuWeather</t>
        </is>
      </c>
    </row>
    <row r="19" ht="24" customHeight="1">
      <c r="A19" s="2" t="inlineStr">
        <is>
          <t>Useful Tagalog</t>
        </is>
      </c>
      <c r="B19" s="3" t="inlineStr">
        <is>
          <t>Salamat (thanks), Magkano (how much), Mahal (expensive), Tara (let's go), Po/Opo (polite suffix)</t>
        </is>
      </c>
    </row>
    <row r="20" ht="24" customHeight="1">
      <c r="A20" s="2" t="inlineStr">
        <is>
          <t>Emergency</t>
        </is>
      </c>
      <c r="B20" s="3" t="inlineStr">
        <is>
          <t>Police/Fire/Ambulance 911 · Coast Guard 143 · NAIA Tourist Police +63 2 8551 9888</t>
        </is>
      </c>
    </row>
    <row r="21" ht="24" customHeight="1">
      <c r="A21" s="2" t="inlineStr">
        <is>
          <t>DOT Tourist Assistance</t>
        </is>
      </c>
      <c r="B21" s="3" t="inlineStr">
        <is>
          <t>+63 2 8459 5200 ext. 105 (Dept of Tourism hotline)</t>
        </is>
      </c>
    </row>
    <row r="22" ht="24" customHeight="1">
      <c r="A22" s="2" t="inlineStr">
        <is>
          <t>Travel insurance</t>
        </is>
      </c>
      <c r="B22" s="3" t="inlineStr">
        <is>
          <t>Optional for domestic but advisable for typhoon-season trip (Standard Insurance, Pioneer, Malayan)</t>
        </is>
      </c>
    </row>
  </sheetData>
  <mergeCells count="21">
    <mergeCell ref="B11:D11"/>
    <mergeCell ref="B14:D14"/>
    <mergeCell ref="B8:D8"/>
    <mergeCell ref="B17:D17"/>
    <mergeCell ref="B13:D13"/>
    <mergeCell ref="B10:D10"/>
    <mergeCell ref="B19:D19"/>
    <mergeCell ref="B9:D9"/>
    <mergeCell ref="B15:D15"/>
    <mergeCell ref="B6:D6"/>
    <mergeCell ref="B20:D20"/>
    <mergeCell ref="A1:D1"/>
    <mergeCell ref="B5:D5"/>
    <mergeCell ref="B4:D4"/>
    <mergeCell ref="B7:D7"/>
    <mergeCell ref="B16:D16"/>
    <mergeCell ref="B3:D3"/>
    <mergeCell ref="B22:D22"/>
    <mergeCell ref="B18:D18"/>
    <mergeCell ref="B21:D21"/>
    <mergeCell ref="B12:D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10" customWidth="1" min="3" max="3"/>
  </cols>
  <sheetData>
    <row r="1" ht="24" customHeight="1">
      <c r="A1" s="1" t="inlineStr">
        <is>
          <t>✅ Pre-Departure Checklist</t>
        </is>
      </c>
    </row>
    <row r="3">
      <c r="A3" s="7" t="inlineStr">
        <is>
          <t>Category</t>
        </is>
      </c>
      <c r="B3" s="7" t="inlineStr">
        <is>
          <t>Item</t>
        </is>
      </c>
      <c r="C3" s="7" t="inlineStr">
        <is>
          <t>Done?</t>
        </is>
      </c>
    </row>
    <row r="4" ht="24" customHeight="1">
      <c r="A4" s="10" t="inlineStr">
        <is>
          <t>Documents</t>
        </is>
      </c>
      <c r="B4" s="8" t="inlineStr">
        <is>
          <t>Valid PH passport or government-issued photo ID (UMID/driver's license/PRC)</t>
        </is>
      </c>
      <c r="C4" s="10" t="inlineStr">
        <is>
          <t>☐</t>
        </is>
      </c>
    </row>
    <row r="5" ht="24" customHeight="1">
      <c r="A5" s="15" t="inlineStr">
        <is>
          <t>Documents</t>
        </is>
      </c>
      <c r="B5" s="3" t="inlineStr">
        <is>
          <t>Return flight ticket printed + on phone</t>
        </is>
      </c>
      <c r="C5" s="15" t="inlineStr">
        <is>
          <t>☐</t>
        </is>
      </c>
    </row>
    <row r="6" ht="24" customHeight="1">
      <c r="A6" s="10" t="inlineStr">
        <is>
          <t>Documents</t>
        </is>
      </c>
      <c r="B6" s="8" t="inlineStr">
        <is>
          <t>Hotel booking confirmation printed + on phone</t>
        </is>
      </c>
      <c r="C6" s="10" t="inlineStr">
        <is>
          <t>☐</t>
        </is>
      </c>
    </row>
    <row r="7" ht="24" customHeight="1">
      <c r="A7" s="15" t="inlineStr">
        <is>
          <t>Documents</t>
        </is>
      </c>
      <c r="B7" s="3" t="inlineStr">
        <is>
          <t>Travel insurance policy + emergency hotline (if purchased)</t>
        </is>
      </c>
      <c r="C7" s="15" t="inlineStr">
        <is>
          <t>☐</t>
        </is>
      </c>
    </row>
    <row r="8" ht="24" customHeight="1">
      <c r="A8" s="10" t="inlineStr">
        <is>
          <t>Documents</t>
        </is>
      </c>
      <c r="B8" s="8" t="inlineStr">
        <is>
          <t>Photo of ID stored in cloud + phone</t>
        </is>
      </c>
      <c r="C8" s="10" t="inlineStr">
        <is>
          <t>☐</t>
        </is>
      </c>
    </row>
    <row r="9" ht="24" customHeight="1">
      <c r="A9" s="15" t="inlineStr">
        <is>
          <t>Money</t>
        </is>
      </c>
      <c r="B9" s="3" t="inlineStr">
        <is>
          <t>PHP cash ₱5,000-10,000 obtained from BPI/BDO ATM at origin</t>
        </is>
      </c>
      <c r="C9" s="15" t="inlineStr">
        <is>
          <t>☐</t>
        </is>
      </c>
    </row>
    <row r="10" ht="24" customHeight="1">
      <c r="A10" s="10" t="inlineStr">
        <is>
          <t>Money</t>
        </is>
      </c>
      <c r="B10" s="8" t="inlineStr">
        <is>
          <t>GCash topped up (₱2,000+) for Grab + Foodpanda + small retailers</t>
        </is>
      </c>
      <c r="C10" s="10" t="inlineStr">
        <is>
          <t>☐</t>
        </is>
      </c>
    </row>
    <row r="11" ht="24" customHeight="1">
      <c r="A11" s="15" t="inlineStr">
        <is>
          <t>Money</t>
        </is>
      </c>
      <c r="B11" s="3" t="inlineStr">
        <is>
          <t>Credit card limit increased for trip; notify bank if first-time Manila use</t>
        </is>
      </c>
      <c r="C11" s="15" t="inlineStr">
        <is>
          <t>☐</t>
        </is>
      </c>
    </row>
    <row r="12" ht="24" customHeight="1">
      <c r="A12" s="10" t="inlineStr">
        <is>
          <t>Tech</t>
        </is>
      </c>
      <c r="B12" s="8" t="inlineStr">
        <is>
          <t>Globe/Smart SIM or eSIM plan decided (buy at NAIA arrival counter)</t>
        </is>
      </c>
      <c r="C12" s="10" t="inlineStr">
        <is>
          <t>☐</t>
        </is>
      </c>
    </row>
    <row r="13" ht="24" customHeight="1">
      <c r="A13" s="15" t="inlineStr">
        <is>
          <t>Tech</t>
        </is>
      </c>
      <c r="B13" s="3" t="inlineStr">
        <is>
          <t>Universal travel adapter packed (if non-PH device with Type G plug)</t>
        </is>
      </c>
      <c r="C13" s="15" t="inlineStr">
        <is>
          <t>☐</t>
        </is>
      </c>
    </row>
    <row r="14" ht="24" customHeight="1">
      <c r="A14" s="10" t="inlineStr">
        <is>
          <t>Tech</t>
        </is>
      </c>
      <c r="B14" s="8" t="inlineStr">
        <is>
          <t>Power bank ≤100Wh (carry-on only on domestic flights)</t>
        </is>
      </c>
      <c r="C14" s="10" t="inlineStr">
        <is>
          <t>☐</t>
        </is>
      </c>
    </row>
    <row r="15" ht="24" customHeight="1">
      <c r="A15" s="15" t="inlineStr">
        <is>
          <t>Tech</t>
        </is>
      </c>
      <c r="B15" s="3" t="inlineStr">
        <is>
          <t>Apps installed: Grab, GCash, Foodpanda, Waze, Maps offline, PAGASA</t>
        </is>
      </c>
      <c r="C15" s="15" t="inlineStr">
        <is>
          <t>☐</t>
        </is>
      </c>
    </row>
    <row r="16" ht="24" customHeight="1">
      <c r="A16" s="10" t="inlineStr">
        <is>
          <t>Tech</t>
        </is>
      </c>
      <c r="B16" s="8" t="inlineStr">
        <is>
          <t>Mobile boarding pass downloaded T-72hr</t>
        </is>
      </c>
      <c r="C16" s="10" t="inlineStr">
        <is>
          <t>☐</t>
        </is>
      </c>
    </row>
    <row r="17" ht="24" customHeight="1">
      <c r="A17" s="15" t="inlineStr">
        <is>
          <t>Bookings</t>
        </is>
      </c>
      <c r="B17" s="3" t="inlineStr">
        <is>
          <t>Hotel — Free Cancellation rate locked</t>
        </is>
      </c>
      <c r="C17" s="15" t="inlineStr">
        <is>
          <t>☐</t>
        </is>
      </c>
    </row>
    <row r="18" ht="24" customHeight="1">
      <c r="A18" s="10" t="inlineStr">
        <is>
          <t>Bookings</t>
        </is>
      </c>
      <c r="B18" s="8" t="inlineStr">
        <is>
          <t>Tagaytay private car / Klook tour pre-booked (if doing)</t>
        </is>
      </c>
      <c r="C18" s="10" t="inlineStr">
        <is>
          <t>☐</t>
        </is>
      </c>
    </row>
    <row r="19" ht="24" customHeight="1">
      <c r="A19" s="15" t="inlineStr">
        <is>
          <t>Bookings</t>
        </is>
      </c>
      <c r="B19" s="3" t="inlineStr">
        <is>
          <t>Toyo Eatery reservation (2 weeks ahead)</t>
        </is>
      </c>
      <c r="C19" s="15" t="inlineStr">
        <is>
          <t>☐</t>
        </is>
      </c>
    </row>
    <row r="20" ht="24" customHeight="1">
      <c r="A20" s="10" t="inlineStr">
        <is>
          <t>Bookings</t>
        </is>
      </c>
      <c r="B20" s="8" t="inlineStr">
        <is>
          <t>Old Manila Walks Binondo crawl booked (1 week ahead)</t>
        </is>
      </c>
      <c r="C20" s="10" t="inlineStr">
        <is>
          <t>☐</t>
        </is>
      </c>
    </row>
    <row r="21" ht="24" customHeight="1">
      <c r="A21" s="15" t="inlineStr">
        <is>
          <t>Bookings</t>
        </is>
      </c>
      <c r="B21" s="3" t="inlineStr">
        <is>
          <t>The Spa BGC / Nuat Thai WhatsApp reserved (1 week ahead)</t>
        </is>
      </c>
      <c r="C21" s="15" t="inlineStr">
        <is>
          <t>☐</t>
        </is>
      </c>
    </row>
    <row r="22" ht="24" customHeight="1">
      <c r="A22" s="10" t="inlineStr">
        <is>
          <t>Bookings</t>
        </is>
      </c>
      <c r="B22" s="8" t="inlineStr">
        <is>
          <t>NAIA → hotel airport transfer planned (Grab or hotel shuttle)</t>
        </is>
      </c>
      <c r="C22" s="10" t="inlineStr">
        <is>
          <t>☐</t>
        </is>
      </c>
    </row>
    <row r="23" ht="24" customHeight="1">
      <c r="A23" s="15" t="inlineStr">
        <is>
          <t>Pack</t>
        </is>
      </c>
      <c r="B23" s="3" t="inlineStr">
        <is>
          <t>Light cotton clothes, breathable shoes, light shawl for churches</t>
        </is>
      </c>
      <c r="C23" s="15" t="inlineStr">
        <is>
          <t>☐</t>
        </is>
      </c>
    </row>
    <row r="24" ht="24" customHeight="1">
      <c r="A24" s="10" t="inlineStr">
        <is>
          <t>Pack</t>
        </is>
      </c>
      <c r="B24" s="8" t="inlineStr">
        <is>
          <t>Quick-dry sandals + closed walking shoes (Intramuros cobblestones)</t>
        </is>
      </c>
      <c r="C24" s="10" t="inlineStr">
        <is>
          <t>☐</t>
        </is>
      </c>
    </row>
    <row r="25" ht="24" customHeight="1">
      <c r="A25" s="15" t="inlineStr">
        <is>
          <t>Pack</t>
        </is>
      </c>
      <c r="B25" s="3" t="inlineStr">
        <is>
          <t>Packable rain shell + small umbrella (habagat onset)</t>
        </is>
      </c>
      <c r="C25" s="15" t="inlineStr">
        <is>
          <t>☐</t>
        </is>
      </c>
    </row>
    <row r="26" ht="24" customHeight="1">
      <c r="A26" s="10" t="inlineStr">
        <is>
          <t>Pack</t>
        </is>
      </c>
      <c r="B26" s="8" t="inlineStr">
        <is>
          <t>SPF 50+ sunscreen, sunglasses, hat</t>
        </is>
      </c>
      <c r="C26" s="10" t="inlineStr">
        <is>
          <t>☐</t>
        </is>
      </c>
    </row>
    <row r="27" ht="24" customHeight="1">
      <c r="A27" s="15" t="inlineStr">
        <is>
          <t>Pack</t>
        </is>
      </c>
      <c r="B27" s="3" t="inlineStr">
        <is>
          <t>Mosquito repellent DEET 25%+ (dengue zone)</t>
        </is>
      </c>
      <c r="C27" s="15" t="inlineStr">
        <is>
          <t>☐</t>
        </is>
      </c>
    </row>
    <row r="28" ht="24" customHeight="1">
      <c r="A28" s="10" t="inlineStr">
        <is>
          <t>Pack</t>
        </is>
      </c>
      <c r="B28" s="8" t="inlineStr">
        <is>
          <t>Personal meds + electrolyte sachets (Hydrite/ORS) for heat</t>
        </is>
      </c>
      <c r="C28" s="10" t="inlineStr">
        <is>
          <t>☐</t>
        </is>
      </c>
    </row>
    <row r="29" ht="24" customHeight="1">
      <c r="A29" s="15" t="inlineStr">
        <is>
          <t>Pack</t>
        </is>
      </c>
      <c r="B29" s="3" t="inlineStr">
        <is>
          <t>Reusable water bottle (refill at hotel — tap NOT potable)</t>
        </is>
      </c>
      <c r="C29" s="15" t="inlineStr">
        <is>
          <t>☐</t>
        </is>
      </c>
    </row>
    <row r="30" ht="24" customHeight="1">
      <c r="A30" s="10" t="inlineStr">
        <is>
          <t>Pack</t>
        </is>
      </c>
      <c r="B30" s="8" t="inlineStr">
        <is>
          <t>Money belt or anti-theft sling (Quiapo/Binondo crowds)</t>
        </is>
      </c>
      <c r="C30" s="10" t="inlineStr">
        <is>
          <t>☐</t>
        </is>
      </c>
    </row>
    <row r="31" ht="24" customHeight="1">
      <c r="A31" s="15" t="inlineStr">
        <is>
          <t>Pre-flight</t>
        </is>
      </c>
      <c r="B31" s="3" t="inlineStr">
        <is>
          <t>Web check-in T-72hr before each domestic flight</t>
        </is>
      </c>
      <c r="C31" s="15" t="inlineStr">
        <is>
          <t>☐</t>
        </is>
      </c>
    </row>
    <row r="32" ht="24" customHeight="1">
      <c r="A32" s="10" t="inlineStr">
        <is>
          <t>Pre-flight</t>
        </is>
      </c>
      <c r="B32" s="8" t="inlineStr">
        <is>
          <t>Confirm NAIA terminal (PAL=T2 · Cebu Pacific=T3 · AirAsia=T4) — wrong terminal = miss flight</t>
        </is>
      </c>
      <c r="C32" s="10" t="inlineStr">
        <is>
          <t>☐</t>
        </is>
      </c>
    </row>
    <row r="33" ht="24" customHeight="1">
      <c r="A33" s="15" t="inlineStr">
        <is>
          <t>Pre-flight</t>
        </is>
      </c>
      <c r="B33" s="3" t="inlineStr">
        <is>
          <t>Confirm baggage allowance (PAL incl 23kg; Cebu Pacific add-on)</t>
        </is>
      </c>
      <c r="C33" s="15" t="inlineStr">
        <is>
          <t>☐</t>
        </is>
      </c>
    </row>
    <row r="34" ht="24" customHeight="1">
      <c r="A34" s="10" t="inlineStr">
        <is>
          <t>Pre-flight</t>
        </is>
      </c>
      <c r="B34" s="8" t="inlineStr">
        <is>
          <t>PAGASA weather check 48hr (habagat / LPA / typhoon outlook)</t>
        </is>
      </c>
      <c r="C34" s="10" t="inlineStr">
        <is>
          <t>☐</t>
        </is>
      </c>
    </row>
    <row r="35" ht="24" customHeight="1">
      <c r="A35" s="15" t="inlineStr">
        <is>
          <t>Pre-flight</t>
        </is>
      </c>
      <c r="B35" s="3" t="inlineStr">
        <is>
          <t>Screenshot all vouchers + boarding passes offline</t>
        </is>
      </c>
      <c r="C35" s="15" t="inlineStr">
        <is>
          <t>☐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2026-05-28T15:55:33Z</dcterms:created>
  <dcterms:modified xmlns:dcterms="http://purl.org/dc/terms/" xmlns:xsi="http://www.w3.org/2001/XMLSchema-instance" xsi:type="dcterms:W3CDTF">2026-05-28T15:55:33Z</dcterms:modified>
</cp:coreProperties>
</file>