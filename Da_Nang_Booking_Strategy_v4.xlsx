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Booking Timeline" sheetId="2" state="visible" r:id="rId2"/>
    <sheet xmlns:r="http://schemas.openxmlformats.org/officeDocument/2006/relationships" name="3. Daily Itinerary" sheetId="3" state="visible" r:id="rId3"/>
    <sheet xmlns:r="http://schemas.openxmlformats.org/officeDocument/2006/relationships" name="4. Accommodation" sheetId="4" state="visible" r:id="rId4"/>
    <sheet xmlns:r="http://schemas.openxmlformats.org/officeDocument/2006/relationships" name="5. Food, Spas, Nightlife" sheetId="5" state="visible" r:id="rId5"/>
    <sheet xmlns:r="http://schemas.openxmlformats.org/officeDocument/2006/relationships" name="6. Practical Info" sheetId="6" state="visible" r:id="rId6"/>
    <sheet xmlns:r="http://schemas.openxmlformats.org/officeDocument/2006/relationships" name="7. Pre-Departure Checklist" sheetId="7" state="visible" r:id="rId7"/>
    <sheet xmlns:r="http://schemas.openxmlformats.org/officeDocument/2006/relationships" name="8. Budget" sheetId="8" state="visible" r:id="rId8"/>
    <sheet xmlns:r="http://schemas.openxmlformats.org/officeDocument/2006/relationships" name="9. Relaxed Pace v2" sheetId="9" state="visible" r:id="rId9"/>
    <sheet xmlns:r="http://schemas.openxmlformats.org/officeDocument/2006/relationships" name="10. Hidden Gems &amp; Swaps" sheetId="10" state="visible" r:id="rId10"/>
    <sheet xmlns:r="http://schemas.openxmlformats.org/officeDocument/2006/relationships" name="11. Distance Matrix" sheetId="11" state="visible" r:id="rId11"/>
    <sheet xmlns:r="http://schemas.openxmlformats.org/officeDocument/2006/relationships" name="12. v1 vs v2 Compare" sheetId="12" state="visible" r:id="rId12"/>
    <sheet xmlns:r="http://schemas.openxmlformats.org/officeDocument/2006/relationships" name="13. Activity Pricing" sheetId="13" state="visible" r:id="rId13"/>
    <sheet xmlns:r="http://schemas.openxmlformats.org/officeDocument/2006/relationships" name="14. Bad Weather Plan 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;[Red]0.0;&quot;-&quot;"/>
    <numFmt numFmtId="165" formatCode="0;[Red]0;&quot;-&quot;"/>
    <numFmt numFmtId="166" formatCode="#,##0;[Red](#,##0);&quot;-&quot;"/>
    <numFmt numFmtId="167" formatCode="&quot;S$&quot;#,##0;[Red](&quot;S$&quot;#,##0);&quot;-&quot;"/>
    <numFmt numFmtId="168" formatCode="&quot;S$&quot;#,##0"/>
    <numFmt numFmtId="169" formatCode="0.0"/>
    <numFmt numFmtId="170" formatCode="#,##0;[Red](#,##0);&quot;FREE&quot;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b val="1"/>
    </font>
    <font>
      <name val="Arial"/>
      <b val="1"/>
      <i val="1"/>
      <sz val="10"/>
    </font>
    <font>
      <name val="Arial"/>
      <b val="1"/>
      <color rgb="001F4E78"/>
      <sz val="12"/>
    </font>
    <font>
      <name val="Arial"/>
      <b val="1"/>
      <color rgb="000000FF"/>
    </font>
    <font>
      <name val="Arial"/>
      <i val="1"/>
      <color rgb="00808080"/>
      <sz val="9"/>
    </font>
    <font>
      <name val="Arial"/>
      <color rgb="000000FF"/>
    </font>
    <font>
      <name val="Arial"/>
      <b val="1"/>
      <sz val="11"/>
    </font>
    <font>
      <name val="Arial"/>
      <i val="1"/>
      <sz val="10"/>
    </font>
  </fonts>
  <fills count="1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7030A0"/>
      </patternFill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305496"/>
      </patternFill>
    </fill>
    <fill>
      <patternFill patternType="solid">
        <fgColor rgb="00548235"/>
      </patternFill>
    </fill>
    <fill>
      <patternFill patternType="solid">
        <fgColor rgb="00595959"/>
      </patternFill>
    </fill>
    <fill>
      <patternFill patternType="solid">
        <fgColor rgb="0080808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vertical="center" inden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center" indent="1"/>
    </xf>
    <xf numFmtId="0" fontId="4" fillId="5" borderId="0" applyAlignment="1" pivotButton="0" quotePrefix="0" xfId="0">
      <alignment horizontal="left" vertical="center" wrapText="1" indent="1"/>
    </xf>
    <xf numFmtId="0" fontId="4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indent="1"/>
    </xf>
    <xf numFmtId="164" fontId="3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166" fontId="3" fillId="3" borderId="1" applyAlignment="1" pivotButton="0" quotePrefix="0" xfId="0">
      <alignment vertical="top" wrapText="1"/>
    </xf>
    <xf numFmtId="167" fontId="3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vertical="top" wrapText="1"/>
    </xf>
    <xf numFmtId="167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indent="1"/>
    </xf>
    <xf numFmtId="164" fontId="2" fillId="7" borderId="1" applyAlignment="1" pivotButton="0" quotePrefix="0" xfId="0">
      <alignment horizontal="center" vertical="center" wrapText="1"/>
    </xf>
    <xf numFmtId="165" fontId="2" fillId="7" borderId="1" applyAlignment="1" pivotButton="0" quotePrefix="0" xfId="0">
      <alignment horizontal="center" vertical="center" wrapText="1"/>
    </xf>
    <xf numFmtId="166" fontId="2" fillId="7" borderId="1" applyAlignment="1" pivotButton="0" quotePrefix="0" xfId="0">
      <alignment horizontal="center" vertical="center" wrapText="1"/>
    </xf>
    <xf numFmtId="167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7" fillId="7" borderId="0" pivotButton="0" quotePrefix="0" xfId="0"/>
    <xf numFmtId="0" fontId="8" fillId="0" borderId="0" pivotButton="0" quotePrefix="0" xfId="0"/>
    <xf numFmtId="0" fontId="2" fillId="3" borderId="1" applyAlignment="1" pivotButton="0" quotePrefix="0" xfId="0">
      <alignment vertical="center" wrapText="1" indent="1"/>
    </xf>
    <xf numFmtId="0" fontId="3" fillId="3" borderId="1" applyAlignment="1" pivotButton="0" quotePrefix="0" xfId="0">
      <alignment vertical="center" wrapText="1" indent="1"/>
    </xf>
    <xf numFmtId="0" fontId="0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 indent="1"/>
    </xf>
    <xf numFmtId="0" fontId="3" fillId="0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3" fontId="9" fillId="4" borderId="1" pivotButton="0" quotePrefix="0" xfId="0"/>
    <xf numFmtId="0" fontId="10" fillId="0" borderId="0" pivotButton="0" quotePrefix="0" xfId="0"/>
    <xf numFmtId="3" fontId="11" fillId="3" borderId="1" pivotButton="0" quotePrefix="0" xfId="0"/>
    <xf numFmtId="168" fontId="0" fillId="3" borderId="1" pivotButton="0" quotePrefix="0" xfId="0"/>
    <xf numFmtId="3" fontId="11" fillId="0" borderId="1" pivotButton="0" quotePrefix="0" xfId="0"/>
    <xf numFmtId="168" fontId="0" fillId="0" borderId="1" pivotButton="0" quotePrefix="0" xfId="0"/>
    <xf numFmtId="0" fontId="2" fillId="7" borderId="1" pivotButton="0" quotePrefix="0" xfId="0"/>
    <xf numFmtId="3" fontId="2" fillId="7" borderId="1" pivotButton="0" quotePrefix="0" xfId="0"/>
    <xf numFmtId="168" fontId="2" fillId="7" borderId="1" pivotButton="0" quotePrefix="0" xfId="0"/>
    <xf numFmtId="168" fontId="11" fillId="0" borderId="1" pivotButton="0" quotePrefix="0" xfId="0"/>
    <xf numFmtId="0" fontId="4" fillId="2" borderId="1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 indent="1"/>
    </xf>
    <xf numFmtId="168" fontId="4" fillId="2" borderId="1" applyAlignment="1" pivotButton="0" quotePrefix="0" xfId="0">
      <alignment horizontal="center" vertical="center" indent="1"/>
    </xf>
    <xf numFmtId="0" fontId="1" fillId="5" borderId="0" applyAlignment="1" pivotButton="0" quotePrefix="0" xfId="0">
      <alignment horizontal="left" vertical="center" indent="1"/>
    </xf>
    <xf numFmtId="0" fontId="13" fillId="7" borderId="1" applyAlignment="1" pivotButton="0" quotePrefix="0" xfId="0">
      <alignment vertical="top" wrapText="1"/>
    </xf>
    <xf numFmtId="0" fontId="5" fillId="5" borderId="0" applyAlignment="1" pivotButton="0" quotePrefix="0" xfId="0">
      <alignment horizontal="left" vertical="center" indent="1"/>
    </xf>
    <xf numFmtId="0" fontId="1" fillId="8" borderId="0" applyAlignment="1" pivotButton="0" quotePrefix="0" xfId="0">
      <alignment horizontal="left" vertical="center" indent="1"/>
    </xf>
    <xf numFmtId="0" fontId="13" fillId="9" borderId="1" applyAlignment="1" pivotButton="0" quotePrefix="0" xfId="0">
      <alignment vertical="top" wrapText="1"/>
    </xf>
    <xf numFmtId="0" fontId="4" fillId="8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 indent="1"/>
    </xf>
    <xf numFmtId="0" fontId="2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center" vertical="center" wrapText="1" indent="1"/>
    </xf>
    <xf numFmtId="0" fontId="1" fillId="10" borderId="0" applyAlignment="1" pivotButton="0" quotePrefix="0" xfId="0">
      <alignment horizontal="left" vertical="center" indent="1"/>
    </xf>
    <xf numFmtId="0" fontId="13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9" fontId="3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3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169" fontId="3" fillId="0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indent="1"/>
    </xf>
    <xf numFmtId="0" fontId="1" fillId="11" borderId="0" applyAlignment="1" pivotButton="0" quotePrefix="0" xfId="0">
      <alignment horizontal="left" vertical="center" indent="1"/>
    </xf>
    <xf numFmtId="0" fontId="4" fillId="11" borderId="0" applyAlignment="1" pivotButton="0" quotePrefix="0" xfId="0">
      <alignment horizontal="left" vertical="center" indent="1"/>
    </xf>
    <xf numFmtId="170" fontId="3" fillId="3" borderId="1" applyAlignment="1" pivotButton="0" quotePrefix="0" xfId="0">
      <alignment horizontal="center" vertical="center" wrapText="1"/>
    </xf>
    <xf numFmtId="167" fontId="3" fillId="3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 indent="1"/>
    </xf>
    <xf numFmtId="0" fontId="5" fillId="12" borderId="0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13" borderId="0" applyAlignment="1" pivotButton="0" quotePrefix="0" xfId="0">
      <alignment horizontal="left" vertical="center" indent="1"/>
    </xf>
    <xf numFmtId="166" fontId="3" fillId="3" borderId="1" applyAlignment="1" pivotButton="0" quotePrefix="0" xfId="0">
      <alignment horizontal="center" vertical="center" wrapText="1" indent="1"/>
    </xf>
    <xf numFmtId="166" fontId="3" fillId="0" borderId="1" applyAlignment="1" pivotButton="0" quotePrefix="0" xfId="0">
      <alignment horizontal="center" vertical="center" wrapText="1" indent="1"/>
    </xf>
    <xf numFmtId="170" fontId="3" fillId="3" borderId="1" applyAlignment="1" pivotButton="0" quotePrefix="0" xfId="0">
      <alignment horizontal="center" vertical="center" wrapText="1" indent="1"/>
    </xf>
    <xf numFmtId="170" fontId="3" fillId="0" borderId="1" applyAlignment="1" pivotButton="0" quotePrefix="0" xfId="0">
      <alignment horizontal="center" vertical="center" wrapText="1" indent="1"/>
    </xf>
    <xf numFmtId="0" fontId="0" fillId="3" borderId="1" applyAlignment="1" pivotButton="0" quotePrefix="0" xfId="0">
      <alignment vertical="center" wrapText="1" indent="1"/>
    </xf>
    <xf numFmtId="0" fontId="0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28" customHeight="1">
      <c r="A1" s="1" t="inlineStr">
        <is>
          <t>🌴 Da Nang Trip Overview — Aug 14–18, 2026</t>
        </is>
      </c>
    </row>
    <row r="3" ht="24" customHeight="1">
      <c r="A3" s="2" t="inlineStr">
        <is>
          <t>Trip dates</t>
        </is>
      </c>
      <c r="B3" s="3" t="inlineStr">
        <is>
          <t>14–18 Aug 2026 (Fri–Tue)</t>
        </is>
      </c>
    </row>
    <row r="4" ht="24" customHeight="1">
      <c r="A4" s="2" t="inlineStr">
        <is>
          <t>Nights / Days</t>
        </is>
      </c>
      <c r="B4" s="3" t="inlineStr">
        <is>
          <t>4 nights / 5 days</t>
        </is>
      </c>
    </row>
    <row r="5" ht="24" customHeight="1">
      <c r="A5" s="2" t="inlineStr">
        <is>
          <t>Origin</t>
        </is>
      </c>
      <c r="B5" s="3" t="inlineStr">
        <is>
          <t>Singapore (SIN) — Scoot</t>
        </is>
      </c>
    </row>
    <row r="6" ht="24" customHeight="1">
      <c r="A6" s="2" t="inlineStr">
        <is>
          <t>Destination</t>
        </is>
      </c>
      <c r="B6" s="3" t="inlineStr">
        <is>
          <t>Da Nang (DAD), Central Vietnam</t>
        </is>
      </c>
    </row>
    <row r="7" ht="24" customHeight="1">
      <c r="A7" s="2" t="inlineStr">
        <is>
          <t>Outbound flight</t>
        </is>
      </c>
      <c r="B7" s="3" t="inlineStr">
        <is>
          <t>Fri 14 Aug — lands DAD ~09:55</t>
        </is>
      </c>
    </row>
    <row r="8" ht="24" customHeight="1">
      <c r="A8" s="2" t="inlineStr">
        <is>
          <t>Return flight</t>
        </is>
      </c>
      <c r="B8" s="3" t="inlineStr">
        <is>
          <t>Tue 18 Aug — departs DAD ~18:30</t>
        </is>
      </c>
    </row>
    <row r="9" ht="24" customHeight="1">
      <c r="A9" s="2" t="inlineStr">
        <is>
          <t>Passport</t>
        </is>
      </c>
      <c r="B9" s="3" t="inlineStr">
        <is>
          <t>Philippines</t>
        </is>
      </c>
    </row>
    <row r="10" ht="24" customHeight="1">
      <c r="A10" s="2" t="inlineStr">
        <is>
          <t>Vietnam visa</t>
        </is>
      </c>
      <c r="B10" s="3" t="inlineStr">
        <is>
          <t>VISA-EXEMPT 21 days (PH–VN bilateral). Re-verify 1 month pre-travel.</t>
        </is>
      </c>
    </row>
    <row r="11" ht="24" customHeight="1">
      <c r="A11" s="2" t="inlineStr">
        <is>
          <t>SG re-entry</t>
        </is>
      </c>
      <c r="B11" s="3" t="inlineStr">
        <is>
          <t>If SG-resident: confirm Long-Term Pass / Re-entry Permit valid through 18 Aug 2026</t>
        </is>
      </c>
    </row>
    <row r="12" ht="24" customHeight="1">
      <c r="A12" s="2" t="inlineStr">
        <is>
          <t>Base hotel</t>
        </is>
      </c>
      <c r="B12" s="3" t="inlineStr">
        <is>
          <t>Single hotel, My Khe Beach area (recommended: TMS or Sala Danang)</t>
        </is>
      </c>
    </row>
    <row r="13" ht="24" customHeight="1">
      <c r="A13" s="2" t="inlineStr">
        <is>
          <t>Travelers</t>
        </is>
      </c>
      <c r="B13" s="3" t="inlineStr">
        <is>
          <t>1–2 pax (confirm)</t>
        </is>
      </c>
    </row>
    <row r="14" ht="24" customHeight="1">
      <c r="A14" s="2" t="inlineStr">
        <is>
          <t>Currency</t>
        </is>
      </c>
      <c r="B14" s="3" t="inlineStr">
        <is>
          <t>Vietnamese Dong (VND); ~18,500–19,000 VND = 1 SGD (volatile — recheck via XE)</t>
        </is>
      </c>
    </row>
    <row r="15" ht="24" customHeight="1">
      <c r="A15" s="2" t="inlineStr">
        <is>
          <t>Climate</t>
        </is>
      </c>
      <c r="B15" s="3" t="inlineStr">
        <is>
          <t>Warm/mostly dry, 27–34°C, 75–85% humidity; rising afternoon storm risk in Aug</t>
        </is>
      </c>
    </row>
    <row r="16" ht="24" customHeight="1">
      <c r="A16" s="2" t="inlineStr">
        <is>
          <t>Power</t>
        </is>
      </c>
      <c r="B16" s="3" t="inlineStr">
        <is>
          <t>220V/50Hz, plugs Type A/C/F (NOT Type G); bring universal adapter</t>
        </is>
      </c>
    </row>
    <row r="17" ht="24" customHeight="1">
      <c r="A17" s="2" t="inlineStr">
        <is>
          <t>Tap water</t>
        </is>
      </c>
      <c r="B17" s="3" t="inlineStr">
        <is>
          <t>NOT potable — bottled only</t>
        </is>
      </c>
    </row>
    <row r="18" ht="24" customHeight="1">
      <c r="A18" s="2" t="inlineStr">
        <is>
          <t>Tipping</t>
        </is>
      </c>
      <c r="B18" s="3" t="inlineStr">
        <is>
          <t>10% appreciated at restaurants/spas, not mandatory</t>
        </is>
      </c>
    </row>
    <row r="19" ht="24" customHeight="1">
      <c r="A19" s="2" t="inlineStr">
        <is>
          <t>Emergency</t>
        </is>
      </c>
      <c r="B19" s="3" t="inlineStr">
        <is>
          <t>Police 113, Ambulance 115, Fire 114</t>
        </is>
      </c>
    </row>
    <row r="20" ht="24" customHeight="1">
      <c r="A20" s="2" t="inlineStr">
        <is>
          <t>PH Embassy Hanoi</t>
        </is>
      </c>
      <c r="B20" s="3" t="inlineStr">
        <is>
          <t>+84 24 3943 7948 (no Da Nang consulate; Hanoi handles Central VN)</t>
        </is>
      </c>
    </row>
    <row r="22" ht="24" customHeight="1">
      <c r="A22" s="1" t="inlineStr">
        <is>
          <t>⚠️ Risk Flags &amp; Mitigations</t>
        </is>
      </c>
    </row>
    <row r="24" ht="28" customHeight="1">
      <c r="A24" s="4" t="inlineStr">
        <is>
          <t>Dragon Bridge show</t>
        </is>
      </c>
      <c r="B24" s="3" t="inlineStr">
        <is>
          <t>Fri/Sat/Sun 21:00 — Aug 14 = Fri ✅; confirm operating schedule 1 week prior</t>
        </is>
      </c>
    </row>
    <row r="25" ht="28" customHeight="1">
      <c r="A25" s="4" t="inlineStr">
        <is>
          <t>Pub Crawl</t>
        </is>
      </c>
      <c r="B25" s="3" t="inlineStr">
        <is>
          <t>Operator-run (DaNangLeisure.com), schedule not guaranteed — reconfirm; fallback: self-guided An Thuong bar strip</t>
        </is>
      </c>
    </row>
    <row r="26" ht="28" customHeight="1">
      <c r="A26" s="4" t="inlineStr">
        <is>
          <t>Day 2 fatigue (v1)</t>
        </is>
      </c>
      <c r="B26" s="3" t="inlineStr">
        <is>
          <t>Ba Na full day + 21:30 pub crawl = high fatigue; v2 swaps Ba Na for Hai Van Pass + Lăng Cô</t>
        </is>
      </c>
    </row>
    <row r="27" ht="28" customHeight="1">
      <c r="A27" s="4" t="inlineStr">
        <is>
          <t>Day 3 pacing (v1)</t>
        </is>
      </c>
      <c r="B27" s="3" t="inlineStr">
        <is>
          <t>Marble + Hoi An same day NOT leisure; v2 splits across Day 3 (Hoi An) + Day 4 (Marble)</t>
        </is>
      </c>
    </row>
    <row r="28" ht="28" customHeight="1">
      <c r="A28" s="4" t="inlineStr">
        <is>
          <t>Day 5 airport buffer</t>
        </is>
      </c>
      <c r="B28" s="3" t="inlineStr">
        <is>
          <t>Both v1/v2 use 3hr (depart hotel 15:00); Scoot recommends 3hr int’l</t>
        </is>
      </c>
    </row>
    <row r="29" ht="28" customHeight="1">
      <c r="A29" s="4" t="inlineStr">
        <is>
          <t>Aug typhoon edge</t>
        </is>
      </c>
      <c r="B29" s="3" t="inlineStr">
        <is>
          <t>Monitor PAGASA &amp; VN Met (nchmf.gov.vn) 1 week pre-flight</t>
        </is>
      </c>
    </row>
    <row r="30" ht="28" customHeight="1">
      <c r="A30" s="4" t="inlineStr">
        <is>
          <t>Lady Buddha dress</t>
        </is>
      </c>
      <c r="B30" s="3" t="inlineStr">
        <is>
          <t>Covered shoulders &amp; knees — bring light scarf or long pants</t>
        </is>
      </c>
    </row>
    <row r="31" ht="28" customHeight="1">
      <c r="A31" s="4" t="inlineStr">
        <is>
          <t>Marble slippery</t>
        </is>
      </c>
      <c r="B31" s="3" t="inlineStr">
        <is>
          <t>Limestone, sometimes wet — wear non-slip walking shoes</t>
        </is>
      </c>
    </row>
    <row r="32" ht="28" customHeight="1">
      <c r="A32" s="4" t="inlineStr">
        <is>
          <t>Hoi An lantern boat</t>
        </is>
      </c>
      <c r="B32" s="3" t="inlineStr">
        <is>
          <t>Negotiate BEFORE boarding (50–100k VND fair)</t>
        </is>
      </c>
    </row>
    <row r="33" ht="28" customHeight="1">
      <c r="A33" s="4" t="inlineStr">
        <is>
          <t>SIM scams</t>
        </is>
      </c>
      <c r="B33" s="3" t="inlineStr">
        <is>
          <t>Buy SIM at official Viettel/Mobifone counter inside DAD terminal, not from touts</t>
        </is>
      </c>
    </row>
    <row r="36" ht="32" customHeight="1">
      <c r="A36" s="5" t="inlineStr">
        <is>
          <t>📌 Three itinerary variants: Sheet 3 (v1 standard) · Sheet 9 (v2 relaxed less-touristy) · Sheet 14 (v3 bad-weather Plan B). All distance + travel time included.</t>
        </is>
      </c>
    </row>
  </sheetData>
  <mergeCells count="31">
    <mergeCell ref="B11:D11"/>
    <mergeCell ref="B14:D14"/>
    <mergeCell ref="A22:D22"/>
    <mergeCell ref="B8:D8"/>
    <mergeCell ref="B17:D17"/>
    <mergeCell ref="B13:D13"/>
    <mergeCell ref="B29:D29"/>
    <mergeCell ref="B10:D10"/>
    <mergeCell ref="B28:D28"/>
    <mergeCell ref="B19:D19"/>
    <mergeCell ref="B9:D9"/>
    <mergeCell ref="B30:D30"/>
    <mergeCell ref="B15:D15"/>
    <mergeCell ref="B6:D6"/>
    <mergeCell ref="B24:D24"/>
    <mergeCell ref="A36:D36"/>
    <mergeCell ref="B20:D20"/>
    <mergeCell ref="B33:D33"/>
    <mergeCell ref="A1:D1"/>
    <mergeCell ref="B5:D5"/>
    <mergeCell ref="B32:D32"/>
    <mergeCell ref="B4:D4"/>
    <mergeCell ref="B26:D26"/>
    <mergeCell ref="B7:D7"/>
    <mergeCell ref="B25:D25"/>
    <mergeCell ref="B16:D16"/>
    <mergeCell ref="B3:D3"/>
    <mergeCell ref="B31:D31"/>
    <mergeCell ref="B18:D18"/>
    <mergeCell ref="B27:D27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50" customWidth="1" min="3" max="3"/>
    <col width="45" customWidth="1" min="4" max="4"/>
  </cols>
  <sheetData>
    <row r="1" ht="24" customHeight="1">
      <c r="A1" s="1" t="inlineStr">
        <is>
          <t>📅 Booking Strategy Timeline (relative to 14 Aug 2026)</t>
        </is>
      </c>
    </row>
    <row r="3">
      <c r="A3" s="6" t="inlineStr">
        <is>
          <t>Window</t>
        </is>
      </c>
      <c r="B3" s="6" t="inlineStr">
        <is>
          <t>Lead time</t>
        </is>
      </c>
      <c r="C3" s="6" t="inlineStr">
        <is>
          <t>Action</t>
        </is>
      </c>
      <c r="D3" s="6" t="inlineStr">
        <is>
          <t>Why</t>
        </is>
      </c>
    </row>
    <row r="4" ht="20" customHeight="1">
      <c r="A4" s="3" t="inlineStr">
        <is>
          <t>Now → Jan 2026</t>
        </is>
      </c>
      <c r="B4" s="3" t="inlineStr">
        <is>
          <t>T-5 to T-9 mo</t>
        </is>
      </c>
      <c r="C4" s="3" t="inlineStr">
        <is>
          <t>Track Scoot fares via Google Flights price alerts</t>
        </is>
      </c>
      <c r="D4" s="3" t="inlineStr">
        <is>
          <t>Establish baseline before promo periods</t>
        </is>
      </c>
    </row>
    <row r="5" ht="20" customHeight="1">
      <c r="A5" s="7" t="inlineStr">
        <is>
          <t>Feb–Apr 2026</t>
        </is>
      </c>
      <c r="B5" s="7" t="inlineStr">
        <is>
          <t>T-4 to T-6 mo</t>
        </is>
      </c>
      <c r="C5" s="7" t="inlineStr">
        <is>
          <t>BOOK Scoot SIN-DAD return; target Tue "Got To Go" promos</t>
        </is>
      </c>
      <c r="D5" s="7" t="inlineStr">
        <is>
          <t>Historical fare dip for Aug travel</t>
        </is>
      </c>
    </row>
    <row r="6" ht="20" customHeight="1">
      <c r="A6" s="3" t="inlineStr">
        <is>
          <t>May 2026</t>
        </is>
      </c>
      <c r="B6" s="3" t="inlineStr">
        <is>
          <t>T-3 mo</t>
        </is>
      </c>
      <c r="C6" s="3" t="inlineStr">
        <is>
          <t>Book hotel on Agoda/Booking with FREE CANCELLATION</t>
        </is>
      </c>
      <c r="D6" s="3" t="inlineStr">
        <is>
          <t>Lock rate, pivot if flash sale</t>
        </is>
      </c>
    </row>
    <row r="7" ht="30" customHeight="1">
      <c r="A7" s="7" t="inlineStr">
        <is>
          <t>Jun 2026</t>
        </is>
      </c>
      <c r="B7" s="7" t="inlineStr">
        <is>
          <t>T-2 mo</t>
        </is>
      </c>
      <c r="C7" s="7" t="inlineStr">
        <is>
          <t>Pre-book Ba Na Hills (v1) OR Hai Van Pass driver (v2) via Klook</t>
        </is>
      </c>
      <c r="D7" s="7" t="inlineStr">
        <is>
          <t>5–10% cheaper than gate + queue skip</t>
        </is>
      </c>
    </row>
    <row r="8" ht="20" customHeight="1">
      <c r="A8" s="3" t="inlineStr">
        <is>
          <t>Jul 2026</t>
        </is>
      </c>
      <c r="B8" s="3" t="inlineStr">
        <is>
          <t>T-1 mo</t>
        </is>
      </c>
      <c r="C8" s="3" t="inlineStr">
        <is>
          <t>Buy travel insurance; reserve Hoi An tailoring if planned</t>
        </is>
      </c>
      <c r="D8" s="3" t="inlineStr">
        <is>
          <t>Insurance must precede departure for cover</t>
        </is>
      </c>
    </row>
    <row r="9" ht="30" customHeight="1">
      <c r="A9" s="7" t="inlineStr">
        <is>
          <t>Early Aug 2026</t>
        </is>
      </c>
      <c r="B9" s="7" t="inlineStr">
        <is>
          <t>T-2 wk</t>
        </is>
      </c>
      <c r="C9" s="7" t="inlineStr">
        <is>
          <t>Re-verify visa-exempt rule, weather/typhoon outlook, Scoot baggage</t>
        </is>
      </c>
      <c r="D9" s="7" t="inlineStr">
        <is>
          <t>Final pre-trip facts check</t>
        </is>
      </c>
    </row>
    <row r="10" ht="30" customHeight="1">
      <c r="A10" s="3" t="inlineStr">
        <is>
          <t>1 week before</t>
        </is>
      </c>
      <c r="B10" s="3" t="inlineStr">
        <is>
          <t>T-7 d</t>
        </is>
      </c>
      <c r="C10" s="3" t="inlineStr">
        <is>
          <t>WhatsApp spas (Herbal/Babylon/Queen) to reserve; book pub crawl</t>
        </is>
      </c>
      <c r="D10" s="3" t="inlineStr">
        <is>
          <t>Evening spa slots fill up</t>
        </is>
      </c>
    </row>
    <row r="11" ht="20" customHeight="1">
      <c r="A11" s="7" t="inlineStr">
        <is>
          <t>3 days before</t>
        </is>
      </c>
      <c r="B11" s="7" t="inlineStr">
        <is>
          <t>T-3 d</t>
        </is>
      </c>
      <c r="C11" s="7" t="inlineStr">
        <is>
          <t>Web check-in opens (Scoot T-72hr), confirm seats</t>
        </is>
      </c>
      <c r="D11" s="7" t="inlineStr">
        <is>
          <t>Avoid airport counter queue</t>
        </is>
      </c>
    </row>
    <row r="12" ht="30" customHeight="1">
      <c r="A12" s="3" t="inlineStr">
        <is>
          <t>Day before</t>
        </is>
      </c>
      <c r="B12" s="3" t="inlineStr">
        <is>
          <t>T-1 d</t>
        </is>
      </c>
      <c r="C12" s="3" t="inlineStr">
        <is>
          <t>Screenshot all vouchers offline; charge devices; pack adapter</t>
        </is>
      </c>
      <c r="D12" s="3" t="inlineStr">
        <is>
          <t>Network patchy at arrival</t>
        </is>
      </c>
    </row>
    <row r="13" ht="20" customHeight="1">
      <c r="A13" s="7" t="inlineStr">
        <is>
          <t>Day of</t>
        </is>
      </c>
      <c r="B13" s="7" t="inlineStr">
        <is>
          <t>T-0</t>
        </is>
      </c>
      <c r="C13" s="7" t="inlineStr">
        <is>
          <t>Web check-in T-48 to T-1; arrive SIN T-3hr</t>
        </is>
      </c>
      <c r="D13" s="7" t="inlineStr">
        <is>
          <t>International standard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9" customWidth="1" min="4" max="4"/>
    <col width="10" customWidth="1" min="5" max="5"/>
    <col width="13" customWidth="1" min="6" max="6"/>
    <col width="12" customWidth="1" min="7" max="7"/>
    <col width="38" customWidth="1" min="8" max="8"/>
    <col width="5" customWidth="1" min="9" max="9"/>
  </cols>
  <sheetData>
    <row r="1" ht="24" customHeight="1">
      <c r="A1" s="1" t="inlineStr">
        <is>
          <t>🗺️ v1 Standard Pace Itinerary — w/ Distance + Travel Time</t>
        </is>
      </c>
    </row>
    <row r="3" ht="22" customHeight="1">
      <c r="A3" s="8" t="inlineStr">
        <is>
          <t>Day 1 — Fri 14 Aug: Arrival, Coast, Dragon Bridge</t>
        </is>
      </c>
    </row>
    <row r="4">
      <c r="A4" s="6" t="inlineStr">
        <is>
          <t>Time</t>
        </is>
      </c>
      <c r="B4" s="6" t="inlineStr">
        <is>
          <t>Activity</t>
        </is>
      </c>
      <c r="C4" s="6" t="inlineStr">
        <is>
          <t>From → To</t>
        </is>
      </c>
      <c r="D4" s="6" t="inlineStr">
        <is>
          <t>Dist (km)</t>
        </is>
      </c>
      <c r="E4" s="6" t="inlineStr">
        <is>
          <t>Travel (min)</t>
        </is>
      </c>
      <c r="F4" s="6" t="inlineStr">
        <is>
          <t>Cost (VND)</t>
        </is>
      </c>
      <c r="G4" s="6" t="inlineStr">
        <is>
          <t>Cost (SGD)</t>
        </is>
      </c>
      <c r="H4" s="6" t="inlineStr">
        <is>
          <t>Notes</t>
        </is>
      </c>
      <c r="I4" s="6" t="inlineStr">
        <is>
          <t>✓</t>
        </is>
      </c>
    </row>
    <row r="5" ht="26" customHeight="1">
      <c r="A5" s="7" t="inlineStr">
        <is>
          <t>09:55</t>
        </is>
      </c>
      <c r="B5" s="7" t="inlineStr">
        <is>
          <t>Land DAD; immigration, baggage</t>
        </is>
      </c>
      <c r="C5" s="7" t="inlineStr">
        <is>
          <t>DAD arrival</t>
        </is>
      </c>
      <c r="D5" s="9" t="n"/>
      <c r="E5" s="10" t="n"/>
      <c r="F5" s="11" t="n"/>
      <c r="G5" s="12" t="n"/>
      <c r="H5" s="7" t="inlineStr">
        <is>
          <t>PH passport: 21-day exempt; allow 30–45 min</t>
        </is>
      </c>
      <c r="I5" s="13" t="inlineStr">
        <is>
          <t>☐</t>
        </is>
      </c>
    </row>
    <row r="6" ht="26" customHeight="1">
      <c r="A6" s="3" t="inlineStr">
        <is>
          <t>10:30</t>
        </is>
      </c>
      <c r="B6" s="3" t="inlineStr">
        <is>
          <t>SIM/eSIM at terminal</t>
        </is>
      </c>
      <c r="C6" s="3" t="inlineStr">
        <is>
          <t>DAD terminal</t>
        </is>
      </c>
      <c r="D6" s="14" t="n"/>
      <c r="E6" s="15" t="n"/>
      <c r="F6" s="16" t="n">
        <v>250000</v>
      </c>
      <c r="G6" s="17" t="n">
        <v>14</v>
      </c>
      <c r="H6" s="3" t="inlineStr">
        <is>
          <t>Viettel 30-day 60GB ~250k</t>
        </is>
      </c>
      <c r="I6" s="18" t="inlineStr">
        <is>
          <t>☐</t>
        </is>
      </c>
    </row>
    <row r="7" ht="26" customHeight="1">
      <c r="A7" s="7" t="inlineStr">
        <is>
          <t>10:45</t>
        </is>
      </c>
      <c r="B7" s="7" t="inlineStr">
        <is>
          <t>Grab to hotel</t>
        </is>
      </c>
      <c r="C7" s="7" t="inlineStr">
        <is>
          <t>DAD → My Khe Beach hotel</t>
        </is>
      </c>
      <c r="D7" s="9" t="n">
        <v>6</v>
      </c>
      <c r="E7" s="10" t="n">
        <v>18</v>
      </c>
      <c r="F7" s="11" t="n">
        <v>150000</v>
      </c>
      <c r="G7" s="12" t="n">
        <v>9</v>
      </c>
      <c r="H7" s="7" t="inlineStr">
        <is>
          <t>Show address in Vietnamese</t>
        </is>
      </c>
      <c r="I7" s="13" t="inlineStr">
        <is>
          <t>☐</t>
        </is>
      </c>
    </row>
    <row r="8" ht="26" customHeight="1">
      <c r="A8" s="3" t="inlineStr">
        <is>
          <t>11:30</t>
        </is>
      </c>
      <c r="B8" s="3" t="inlineStr">
        <is>
          <t>Hotel luggage drop / early check-in</t>
        </is>
      </c>
      <c r="C8" s="3" t="inlineStr">
        <is>
          <t>at Hotel</t>
        </is>
      </c>
      <c r="D8" s="14" t="n"/>
      <c r="E8" s="15" t="n"/>
      <c r="F8" s="16" t="n"/>
      <c r="G8" s="17" t="n"/>
      <c r="H8" s="3" t="inlineStr">
        <is>
          <t>Standard check-in 14:00</t>
        </is>
      </c>
      <c r="I8" s="18" t="inlineStr">
        <is>
          <t>☐</t>
        </is>
      </c>
    </row>
    <row r="9" ht="26" customHeight="1">
      <c r="A9" s="7" t="inlineStr">
        <is>
          <t>12:30</t>
        </is>
      </c>
      <c r="B9" s="7" t="inlineStr">
        <is>
          <t>Walk to lunch: Bếp Cuốn Đà Nẵng</t>
        </is>
      </c>
      <c r="C9" s="7" t="inlineStr">
        <is>
          <t>Hotel → Bếp Cuốn (walk)</t>
        </is>
      </c>
      <c r="D9" s="9" t="n">
        <v>0.5</v>
      </c>
      <c r="E9" s="10" t="n">
        <v>8</v>
      </c>
      <c r="F9" s="11" t="n">
        <v>200000</v>
      </c>
      <c r="G9" s="12" t="n">
        <v>11</v>
      </c>
      <c r="H9" s="7" t="inlineStr">
        <is>
          <t>Per pax</t>
        </is>
      </c>
      <c r="I9" s="13" t="inlineStr">
        <is>
          <t>☐</t>
        </is>
      </c>
    </row>
    <row r="10" ht="26" customHeight="1">
      <c r="A10" s="3" t="inlineStr">
        <is>
          <t>14:00</t>
        </is>
      </c>
      <c r="B10" s="3" t="inlineStr">
        <is>
          <t>Hotel check-in proper, freshen up</t>
        </is>
      </c>
      <c r="C10" s="3" t="inlineStr">
        <is>
          <t>back to Hotel (walk)</t>
        </is>
      </c>
      <c r="D10" s="14" t="n">
        <v>0.5</v>
      </c>
      <c r="E10" s="15" t="n">
        <v>8</v>
      </c>
      <c r="F10" s="16" t="n"/>
      <c r="G10" s="17" t="n"/>
      <c r="H10" s="3" t="inlineStr"/>
      <c r="I10" s="18" t="inlineStr">
        <is>
          <t>☐</t>
        </is>
      </c>
    </row>
    <row r="11" ht="26" customHeight="1">
      <c r="A11" s="7" t="inlineStr">
        <is>
          <t>15:00</t>
        </is>
      </c>
      <c r="B11" s="7" t="inlineStr">
        <is>
          <t>Spa: Herbal Spa (90-min signature)</t>
        </is>
      </c>
      <c r="C11" s="7" t="inlineStr">
        <is>
          <t>Hotel → Herbal Spa</t>
        </is>
      </c>
      <c r="D11" s="9" t="n">
        <v>1</v>
      </c>
      <c r="E11" s="10" t="n">
        <v>5</v>
      </c>
      <c r="F11" s="11" t="n">
        <v>700000</v>
      </c>
      <c r="G11" s="12" t="n">
        <v>38</v>
      </c>
      <c r="H11" s="7" t="inlineStr">
        <is>
          <t>Pre-book WhatsApp; Grab or walk</t>
        </is>
      </c>
      <c r="I11" s="13" t="inlineStr">
        <is>
          <t>☐</t>
        </is>
      </c>
    </row>
    <row r="12" ht="26" customHeight="1">
      <c r="A12" s="3" t="inlineStr">
        <is>
          <t>17:00</t>
        </is>
      </c>
      <c r="B12" s="3" t="inlineStr">
        <is>
          <t>My Khe Beach sunset walk</t>
        </is>
      </c>
      <c r="C12" s="3" t="inlineStr">
        <is>
          <t>Spa → Beach (walk)</t>
        </is>
      </c>
      <c r="D12" s="14" t="n">
        <v>0.8</v>
      </c>
      <c r="E12" s="15" t="n">
        <v>12</v>
      </c>
      <c r="F12" s="16" t="n"/>
      <c r="G12" s="17" t="n"/>
      <c r="H12" s="3" t="inlineStr">
        <is>
          <t>Sunset ~18:20</t>
        </is>
      </c>
      <c r="I12" s="18" t="inlineStr">
        <is>
          <t>☐</t>
        </is>
      </c>
    </row>
    <row r="13" ht="26" customHeight="1">
      <c r="A13" s="7" t="inlineStr">
        <is>
          <t>19:30</t>
        </is>
      </c>
      <c r="B13" s="7" t="inlineStr">
        <is>
          <t>Grab to Han River area</t>
        </is>
      </c>
      <c r="C13" s="7" t="inlineStr">
        <is>
          <t>My Khe → Han River</t>
        </is>
      </c>
      <c r="D13" s="9" t="n">
        <v>3.2</v>
      </c>
      <c r="E13" s="10" t="n">
        <v>12</v>
      </c>
      <c r="F13" s="11" t="n">
        <v>80000</v>
      </c>
      <c r="G13" s="12" t="n">
        <v>4</v>
      </c>
      <c r="H13" s="7" t="inlineStr"/>
      <c r="I13" s="13" t="inlineStr">
        <is>
          <t>☐</t>
        </is>
      </c>
    </row>
    <row r="14" ht="26" customHeight="1">
      <c r="A14" s="3" t="inlineStr">
        <is>
          <t>20:00</t>
        </is>
      </c>
      <c r="B14" s="3" t="inlineStr">
        <is>
          <t>Dinner near Dragon Bridge</t>
        </is>
      </c>
      <c r="C14" s="3" t="inlineStr">
        <is>
          <t>Riverside (walk)</t>
        </is>
      </c>
      <c r="D14" s="14" t="n">
        <v>0.3</v>
      </c>
      <c r="E14" s="15" t="n">
        <v>5</v>
      </c>
      <c r="F14" s="16" t="n">
        <v>400000</v>
      </c>
      <c r="G14" s="17" t="n">
        <v>22</v>
      </c>
      <c r="H14" s="3" t="inlineStr">
        <is>
          <t>Per pax</t>
        </is>
      </c>
      <c r="I14" s="18" t="inlineStr">
        <is>
          <t>☐</t>
        </is>
      </c>
    </row>
    <row r="15" ht="26" customHeight="1">
      <c r="A15" s="7" t="inlineStr">
        <is>
          <t>20:45</t>
        </is>
      </c>
      <c r="B15" s="7" t="inlineStr">
        <is>
          <t>Position east side of Dragon Bridge</t>
        </is>
      </c>
      <c r="C15" s="7" t="inlineStr">
        <is>
          <t>walk to bridge</t>
        </is>
      </c>
      <c r="D15" s="9" t="n">
        <v>0.4</v>
      </c>
      <c r="E15" s="10" t="n">
        <v>6</v>
      </c>
      <c r="F15" s="11" t="n"/>
      <c r="G15" s="12" t="n"/>
      <c r="H15" s="7" t="inlineStr"/>
      <c r="I15" s="13" t="inlineStr">
        <is>
          <t>☐</t>
        </is>
      </c>
    </row>
    <row r="16" ht="26" customHeight="1">
      <c r="A16" s="3" t="inlineStr">
        <is>
          <t>21:00</t>
        </is>
      </c>
      <c r="B16" s="3" t="inlineStr">
        <is>
          <t>🐉 Fire &amp; water show</t>
        </is>
      </c>
      <c r="C16" s="3" t="inlineStr">
        <is>
          <t>on Dragon Bridge</t>
        </is>
      </c>
      <c r="D16" s="14" t="n"/>
      <c r="E16" s="15" t="n"/>
      <c r="F16" s="16" t="n"/>
      <c r="G16" s="17" t="n"/>
      <c r="H16" s="3" t="inlineStr">
        <is>
          <t>~15 min show</t>
        </is>
      </c>
      <c r="I16" s="18" t="inlineStr">
        <is>
          <t>☐</t>
        </is>
      </c>
    </row>
    <row r="17" ht="26" customHeight="1">
      <c r="A17" s="7" t="inlineStr">
        <is>
          <t>22:00</t>
        </is>
      </c>
      <c r="B17" s="7" t="inlineStr">
        <is>
          <t>Grab back to hotel</t>
        </is>
      </c>
      <c r="C17" s="7" t="inlineStr">
        <is>
          <t>Dragon Bridge → My Khe</t>
        </is>
      </c>
      <c r="D17" s="9" t="n">
        <v>3.2</v>
      </c>
      <c r="E17" s="10" t="n">
        <v>12</v>
      </c>
      <c r="F17" s="11" t="n">
        <v>80000</v>
      </c>
      <c r="G17" s="12" t="n">
        <v>4</v>
      </c>
      <c r="H17" s="7" t="inlineStr"/>
      <c r="I17" s="13" t="inlineStr">
        <is>
          <t>☐</t>
        </is>
      </c>
    </row>
    <row r="18">
      <c r="A18" s="19" t="inlineStr">
        <is>
          <t>Day total</t>
        </is>
      </c>
      <c r="B18" s="19" t="n"/>
      <c r="C18" s="19" t="n"/>
      <c r="D18" s="20">
        <f>SUM(D5:D17)</f>
        <v/>
      </c>
      <c r="E18" s="21">
        <f>SUM(E5:E17)</f>
        <v/>
      </c>
      <c r="F18" s="22">
        <f>SUM(F5:F17)</f>
        <v/>
      </c>
      <c r="G18" s="23">
        <f>SUM(G5:G17)</f>
        <v/>
      </c>
      <c r="H18" s="19" t="n"/>
      <c r="I18" s="24" t="n"/>
    </row>
    <row r="20" ht="22" customHeight="1">
      <c r="A20" s="8" t="inlineStr">
        <is>
          <t>Day 2 — Sat 15 Aug: Ba Na Hills + Pub Crawl</t>
        </is>
      </c>
    </row>
    <row r="21">
      <c r="A21" s="6" t="inlineStr">
        <is>
          <t>Time</t>
        </is>
      </c>
      <c r="B21" s="6" t="inlineStr">
        <is>
          <t>Activity</t>
        </is>
      </c>
      <c r="C21" s="6" t="inlineStr">
        <is>
          <t>From → To</t>
        </is>
      </c>
      <c r="D21" s="6" t="inlineStr">
        <is>
          <t>Dist (km)</t>
        </is>
      </c>
      <c r="E21" s="6" t="inlineStr">
        <is>
          <t>Travel (min)</t>
        </is>
      </c>
      <c r="F21" s="6" t="inlineStr">
        <is>
          <t>Cost (VND)</t>
        </is>
      </c>
      <c r="G21" s="6" t="inlineStr">
        <is>
          <t>Cost (SGD)</t>
        </is>
      </c>
      <c r="H21" s="6" t="inlineStr">
        <is>
          <t>Notes</t>
        </is>
      </c>
      <c r="I21" s="6" t="inlineStr">
        <is>
          <t>✓</t>
        </is>
      </c>
    </row>
    <row r="22" ht="26" customHeight="1">
      <c r="A22" s="7" t="inlineStr">
        <is>
          <t>06:30</t>
        </is>
      </c>
      <c r="B22" s="7" t="inlineStr">
        <is>
          <t>Hotel breakfast</t>
        </is>
      </c>
      <c r="C22" s="7" t="inlineStr">
        <is>
          <t>at Hotel</t>
        </is>
      </c>
      <c r="D22" s="9" t="n"/>
      <c r="E22" s="10" t="n"/>
      <c r="F22" s="11" t="n"/>
      <c r="G22" s="12" t="n"/>
      <c r="H22" s="7" t="inlineStr">
        <is>
          <t>Front-load — long day</t>
        </is>
      </c>
      <c r="I22" s="13" t="inlineStr">
        <is>
          <t>☐</t>
        </is>
      </c>
    </row>
    <row r="23" ht="26" customHeight="1">
      <c r="A23" s="3" t="inlineStr">
        <is>
          <t>07:30</t>
        </is>
      </c>
      <c r="B23" s="3" t="inlineStr">
        <is>
          <t>Ba Na ALL-IN — pick ONE booking path (see Sheet 13)</t>
        </is>
      </c>
      <c r="C23" s="3" t="inlineStr">
        <is>
          <t>My Khe → Ba Na &amp; back</t>
        </is>
      </c>
      <c r="D23" s="14" t="n">
        <v>72</v>
      </c>
      <c r="E23" s="15" t="n">
        <v>110</v>
      </c>
      <c r="F23" s="16" t="n">
        <v>1300000</v>
      </c>
      <c r="G23" s="17" t="n">
        <v>70</v>
      </c>
      <c r="H23" s="3" t="inlineStr">
        <is>
          <t>BUDGET PATH = Klook shared group tour ~1.2M–1.4M pp all-in (RT shuttle + cable car + buffet lunch bundled). Cell shows mid-point. Alt paths in Sheet 13.</t>
        </is>
      </c>
      <c r="I23" s="18" t="inlineStr">
        <is>
          <t>☐</t>
        </is>
      </c>
    </row>
    <row r="24" ht="26" customHeight="1">
      <c r="A24" s="7" t="inlineStr">
        <is>
          <t>08:30</t>
        </is>
      </c>
      <c r="B24" s="7" t="inlineStr">
        <is>
          <t>Arrive Ba Na cable car station</t>
        </is>
      </c>
      <c r="C24" s="7" t="inlineStr">
        <is>
          <t>at Ba Na</t>
        </is>
      </c>
      <c r="D24" s="9" t="n"/>
      <c r="E24" s="10" t="n"/>
      <c r="F24" s="11" t="n"/>
      <c r="G24" s="12" t="n"/>
      <c r="H24" s="7" t="inlineStr">
        <is>
          <t>Beat tour buses 09:30+</t>
        </is>
      </c>
      <c r="I24" s="13" t="inlineStr">
        <is>
          <t>☐</t>
        </is>
      </c>
    </row>
    <row r="25" ht="26" customHeight="1">
      <c r="A25" s="3" t="inlineStr">
        <is>
          <t>09:00</t>
        </is>
      </c>
      <c r="B25" s="3" t="inlineStr">
        <is>
          <t>Cable car up + Golden Bridge</t>
        </is>
      </c>
      <c r="C25" s="3" t="inlineStr">
        <is>
          <t>cable car 5,801m</t>
        </is>
      </c>
      <c r="D25" s="14" t="n">
        <v>5.8</v>
      </c>
      <c r="E25" s="15" t="n">
        <v>18</v>
      </c>
      <c r="F25" s="16" t="n"/>
      <c r="G25" s="17" t="n"/>
      <c r="H25" s="3" t="inlineStr">
        <is>
          <t>Cost included in 07:30 ALL-IN ticket above</t>
        </is>
      </c>
      <c r="I25" s="18" t="inlineStr">
        <is>
          <t>☐</t>
        </is>
      </c>
    </row>
    <row r="26" ht="26" customHeight="1">
      <c r="A26" s="7" t="inlineStr">
        <is>
          <t>10:30</t>
        </is>
      </c>
      <c r="B26" s="7" t="inlineStr">
        <is>
          <t>French Village + Linh Ứng Pagoda</t>
        </is>
      </c>
      <c r="C26" s="7" t="inlineStr">
        <is>
          <t>on-site walking</t>
        </is>
      </c>
      <c r="D26" s="9" t="n">
        <v>1.5</v>
      </c>
      <c r="E26" s="10" t="n">
        <v>45</v>
      </c>
      <c r="F26" s="11" t="n"/>
      <c r="G26" s="12" t="n"/>
      <c r="H26" s="7" t="inlineStr">
        <is>
          <t>Included in combo ticket</t>
        </is>
      </c>
      <c r="I26" s="13" t="inlineStr">
        <is>
          <t>☐</t>
        </is>
      </c>
    </row>
    <row r="27" ht="26" customHeight="1">
      <c r="A27" s="3" t="inlineStr">
        <is>
          <t>11:15</t>
        </is>
      </c>
      <c r="B27" s="3" t="inlineStr">
        <is>
          <t>Alpine Coaster (OPTIONAL extra)</t>
        </is>
      </c>
      <c r="C27" s="3" t="inlineStr">
        <is>
          <t>on-site</t>
        </is>
      </c>
      <c r="D27" s="14" t="n">
        <v>0.3</v>
      </c>
      <c r="E27" s="15" t="n">
        <v>15</v>
      </c>
      <c r="F27" s="16" t="n">
        <v>200000</v>
      </c>
      <c r="G27" s="17" t="n">
        <v>11</v>
      </c>
      <c r="H27" s="3" t="inlineStr">
        <is>
          <t>Not included in bundle; 200k/ride on-site, 350k for 2 rides</t>
        </is>
      </c>
      <c r="I27" s="18" t="inlineStr">
        <is>
          <t>☐</t>
        </is>
      </c>
    </row>
    <row r="28" ht="26" customHeight="1">
      <c r="A28" s="7" t="inlineStr">
        <is>
          <t>11:45</t>
        </is>
      </c>
      <c r="B28" s="7" t="inlineStr">
        <is>
          <t>Wax Museum / Fantasy Park (OPTIONAL extra)</t>
        </is>
      </c>
      <c r="C28" s="7" t="inlineStr">
        <is>
          <t>on-site</t>
        </is>
      </c>
      <c r="D28" s="9" t="n">
        <v>0.4</v>
      </c>
      <c r="E28" s="10" t="n">
        <v>30</v>
      </c>
      <c r="F28" s="11" t="n">
        <v>350000</v>
      </c>
      <c r="G28" s="12" t="n">
        <v>19</v>
      </c>
      <c r="H28" s="7" t="inlineStr">
        <is>
          <t>Fantasy Park 350k; skip if storm-free</t>
        </is>
      </c>
      <c r="I28" s="13" t="inlineStr">
        <is>
          <t>☐</t>
        </is>
      </c>
    </row>
    <row r="29" ht="26" customHeight="1">
      <c r="A29" s="3" t="inlineStr">
        <is>
          <t>12:30</t>
        </is>
      </c>
      <c r="B29" s="3" t="inlineStr">
        <is>
          <t>Lunch at French Village</t>
        </is>
      </c>
      <c r="C29" s="3" t="inlineStr">
        <is>
          <t>on-site</t>
        </is>
      </c>
      <c r="D29" s="14" t="n"/>
      <c r="E29" s="15" t="n"/>
      <c r="F29" s="16" t="n"/>
      <c r="G29" s="17" t="n"/>
      <c r="H29" s="3" t="inlineStr">
        <is>
          <t>Buffet included if Klook bundle; à la carte 250–400k if private path</t>
        </is>
      </c>
      <c r="I29" s="18" t="inlineStr">
        <is>
          <t>☐</t>
        </is>
      </c>
    </row>
    <row r="30" ht="26" customHeight="1">
      <c r="A30" s="7" t="inlineStr">
        <is>
          <t>14:30</t>
        </is>
      </c>
      <c r="B30" s="7" t="inlineStr">
        <is>
          <t>Viewpoints, Debay Wine Cellar</t>
        </is>
      </c>
      <c r="C30" s="7" t="inlineStr">
        <is>
          <t>on-site</t>
        </is>
      </c>
      <c r="D30" s="9" t="n"/>
      <c r="E30" s="10" t="n"/>
      <c r="F30" s="11" t="n">
        <v>50000</v>
      </c>
      <c r="G30" s="12" t="n">
        <v>3</v>
      </c>
      <c r="H30" s="7" t="inlineStr">
        <is>
          <t>Wine tasting 50k optional</t>
        </is>
      </c>
      <c r="I30" s="13" t="inlineStr">
        <is>
          <t>☐</t>
        </is>
      </c>
    </row>
    <row r="31" ht="26" customHeight="1">
      <c r="A31" s="3" t="inlineStr">
        <is>
          <t>15:30</t>
        </is>
      </c>
      <c r="B31" s="3" t="inlineStr">
        <is>
          <t>Cable car down, return drive</t>
        </is>
      </c>
      <c r="C31" s="3" t="inlineStr">
        <is>
          <t>Ba Na → My Khe</t>
        </is>
      </c>
      <c r="D31" s="14" t="n">
        <v>36</v>
      </c>
      <c r="E31" s="15" t="n">
        <v>55</v>
      </c>
      <c r="F31" s="16" t="n"/>
      <c r="G31" s="17" t="n"/>
      <c r="H31" s="3" t="inlineStr">
        <is>
          <t>Included in 07:30 ALL-IN</t>
        </is>
      </c>
      <c r="I31" s="18" t="inlineStr">
        <is>
          <t>☐</t>
        </is>
      </c>
    </row>
    <row r="32" ht="26" customHeight="1">
      <c r="A32" s="7" t="inlineStr">
        <is>
          <t>16:30</t>
        </is>
      </c>
      <c r="B32" s="7" t="inlineStr">
        <is>
          <t>Hotel: shower, nap</t>
        </is>
      </c>
      <c r="C32" s="7" t="inlineStr">
        <is>
          <t>at Hotel</t>
        </is>
      </c>
      <c r="D32" s="9" t="n"/>
      <c r="E32" s="10" t="n"/>
      <c r="F32" s="11" t="n"/>
      <c r="G32" s="12" t="n"/>
      <c r="H32" s="7" t="inlineStr"/>
      <c r="I32" s="13" t="inlineStr">
        <is>
          <t>☐</t>
        </is>
      </c>
    </row>
    <row r="33" ht="26" customHeight="1">
      <c r="A33" s="3" t="inlineStr">
        <is>
          <t>18:30</t>
        </is>
      </c>
      <c r="B33" s="3" t="inlineStr">
        <is>
          <t>Light dinner near hotel</t>
        </is>
      </c>
      <c r="C33" s="3" t="inlineStr">
        <is>
          <t>walk</t>
        </is>
      </c>
      <c r="D33" s="14" t="n">
        <v>0.5</v>
      </c>
      <c r="E33" s="15" t="n">
        <v>8</v>
      </c>
      <c r="F33" s="16" t="n">
        <v>300000</v>
      </c>
      <c r="G33" s="17" t="n">
        <v>16</v>
      </c>
      <c r="H33" s="3" t="inlineStr">
        <is>
          <t>Per pax; An Thuong strip</t>
        </is>
      </c>
      <c r="I33" s="18" t="inlineStr">
        <is>
          <t>☐</t>
        </is>
      </c>
    </row>
    <row r="34" ht="26" customHeight="1">
      <c r="A34" s="7" t="inlineStr">
        <is>
          <t>21:30</t>
        </is>
      </c>
      <c r="B34" s="7" t="inlineStr">
        <is>
          <t>🍻 Pub Crawl meet (CONFIRM operator)</t>
        </is>
      </c>
      <c r="C34" s="7" t="inlineStr">
        <is>
          <t>Hotel → An Thuong meet</t>
        </is>
      </c>
      <c r="D34" s="9" t="n">
        <v>1.5</v>
      </c>
      <c r="E34" s="10" t="n">
        <v>8</v>
      </c>
      <c r="F34" s="11" t="n">
        <v>300000</v>
      </c>
      <c r="G34" s="12" t="n">
        <v>16</v>
      </c>
      <c r="H34" s="7" t="inlineStr">
        <is>
          <t>DaNangLeisure.com 300k pp; 4 venues + shots + van. SKIP if tired</t>
        </is>
      </c>
      <c r="I34" s="13" t="inlineStr">
        <is>
          <t>☐</t>
        </is>
      </c>
    </row>
    <row r="35" ht="26" customHeight="1">
      <c r="A35" s="3" t="inlineStr">
        <is>
          <t>02:00</t>
        </is>
      </c>
      <c r="B35" s="3" t="inlineStr">
        <is>
          <t>Grab back (or crawl ends nearby)</t>
        </is>
      </c>
      <c r="C35" s="3" t="inlineStr">
        <is>
          <t>An Thuong → Hotel</t>
        </is>
      </c>
      <c r="D35" s="14" t="n">
        <v>1.5</v>
      </c>
      <c r="E35" s="15" t="n">
        <v>8</v>
      </c>
      <c r="F35" s="16" t="n">
        <v>100000</v>
      </c>
      <c r="G35" s="17" t="n">
        <v>5</v>
      </c>
      <c r="H35" s="3" t="inlineStr"/>
      <c r="I35" s="18" t="inlineStr">
        <is>
          <t>☐</t>
        </is>
      </c>
    </row>
    <row r="36">
      <c r="A36" s="19" t="inlineStr">
        <is>
          <t>Day total</t>
        </is>
      </c>
      <c r="B36" s="19" t="n"/>
      <c r="C36" s="19" t="n"/>
      <c r="D36" s="20">
        <f>SUM(D22:D35)</f>
        <v/>
      </c>
      <c r="E36" s="21">
        <f>SUM(E22:E35)</f>
        <v/>
      </c>
      <c r="F36" s="22">
        <f>SUM(F22:F35)</f>
        <v/>
      </c>
      <c r="G36" s="23">
        <f>SUM(G22:G35)</f>
        <v/>
      </c>
      <c r="H36" s="19" t="n"/>
      <c r="I36" s="24" t="n"/>
    </row>
    <row r="38" ht="22" customHeight="1">
      <c r="A38" s="8" t="inlineStr">
        <is>
          <t>Day 3 — Sun 16 Aug: Marble Mountains + Hoi An Lanterns</t>
        </is>
      </c>
    </row>
    <row r="39">
      <c r="A39" s="6" t="inlineStr">
        <is>
          <t>Time</t>
        </is>
      </c>
      <c r="B39" s="6" t="inlineStr">
        <is>
          <t>Activity</t>
        </is>
      </c>
      <c r="C39" s="6" t="inlineStr">
        <is>
          <t>From → To</t>
        </is>
      </c>
      <c r="D39" s="6" t="inlineStr">
        <is>
          <t>Dist (km)</t>
        </is>
      </c>
      <c r="E39" s="6" t="inlineStr">
        <is>
          <t>Travel (min)</t>
        </is>
      </c>
      <c r="F39" s="6" t="inlineStr">
        <is>
          <t>Cost (VND)</t>
        </is>
      </c>
      <c r="G39" s="6" t="inlineStr">
        <is>
          <t>Cost (SGD)</t>
        </is>
      </c>
      <c r="H39" s="6" t="inlineStr">
        <is>
          <t>Notes</t>
        </is>
      </c>
      <c r="I39" s="6" t="inlineStr">
        <is>
          <t>✓</t>
        </is>
      </c>
    </row>
    <row r="40" ht="26" customHeight="1">
      <c r="A40" s="7" t="inlineStr">
        <is>
          <t>08:00</t>
        </is>
      </c>
      <c r="B40" s="7" t="inlineStr">
        <is>
          <t>Late breakfast</t>
        </is>
      </c>
      <c r="C40" s="7" t="inlineStr">
        <is>
          <t>at Hotel</t>
        </is>
      </c>
      <c r="D40" s="9" t="n"/>
      <c r="E40" s="10" t="n"/>
      <c r="F40" s="11" t="n"/>
      <c r="G40" s="12" t="n"/>
      <c r="H40" s="7" t="inlineStr">
        <is>
          <t>Recover from crawl</t>
        </is>
      </c>
      <c r="I40" s="13" t="inlineStr">
        <is>
          <t>☐</t>
        </is>
      </c>
    </row>
    <row r="41" ht="26" customHeight="1">
      <c r="A41" s="3" t="inlineStr">
        <is>
          <t>09:30</t>
        </is>
      </c>
      <c r="B41" s="3" t="inlineStr">
        <is>
          <t>Grab to Marble Mountains</t>
        </is>
      </c>
      <c r="C41" s="3" t="inlineStr">
        <is>
          <t>My Khe → Marble</t>
        </is>
      </c>
      <c r="D41" s="14" t="n">
        <v>8</v>
      </c>
      <c r="E41" s="15" t="n">
        <v>17</v>
      </c>
      <c r="F41" s="16" t="n">
        <v>100000</v>
      </c>
      <c r="G41" s="17" t="n">
        <v>5</v>
      </c>
      <c r="H41" s="3" t="inlineStr"/>
      <c r="I41" s="18" t="inlineStr">
        <is>
          <t>☐</t>
        </is>
      </c>
    </row>
    <row r="42" ht="26" customHeight="1">
      <c r="A42" s="7" t="inlineStr">
        <is>
          <t>09:45</t>
        </is>
      </c>
      <c r="B42" s="7" t="inlineStr">
        <is>
          <t>Marble Mountains (elevator + Am Phu)</t>
        </is>
      </c>
      <c r="C42" s="7" t="inlineStr">
        <is>
          <t>on-site</t>
        </is>
      </c>
      <c r="D42" s="9" t="n">
        <v>1.5</v>
      </c>
      <c r="E42" s="10" t="n">
        <v>90</v>
      </c>
      <c r="F42" s="11" t="n">
        <v>55000</v>
      </c>
      <c r="G42" s="12" t="n">
        <v>3</v>
      </c>
      <c r="H42" s="7" t="inlineStr">
        <is>
          <t>40k + 15k elevator; non-slip shoes</t>
        </is>
      </c>
      <c r="I42" s="13" t="inlineStr">
        <is>
          <t>☐</t>
        </is>
      </c>
    </row>
    <row r="43" ht="26" customHeight="1">
      <c r="A43" s="3" t="inlineStr">
        <is>
          <t>12:00</t>
        </is>
      </c>
      <c r="B43" s="3" t="inlineStr">
        <is>
          <t>Lunch en route to Hoi An</t>
        </is>
      </c>
      <c r="C43" s="3" t="inlineStr">
        <is>
          <t>roadside</t>
        </is>
      </c>
      <c r="D43" s="14" t="n"/>
      <c r="E43" s="15" t="n"/>
      <c r="F43" s="16" t="n">
        <v>200000</v>
      </c>
      <c r="G43" s="17" t="n">
        <v>11</v>
      </c>
      <c r="H43" s="3" t="inlineStr"/>
      <c r="I43" s="18" t="inlineStr">
        <is>
          <t>☐</t>
        </is>
      </c>
    </row>
    <row r="44" ht="26" customHeight="1">
      <c r="A44" s="7" t="inlineStr">
        <is>
          <t>13:30</t>
        </is>
      </c>
      <c r="B44" s="7" t="inlineStr">
        <is>
          <t>Grab to Hoi An Old Town</t>
        </is>
      </c>
      <c r="C44" s="7" t="inlineStr">
        <is>
          <t>Marble → Hoi An</t>
        </is>
      </c>
      <c r="D44" s="9" t="n">
        <v>22</v>
      </c>
      <c r="E44" s="10" t="n">
        <v>35</v>
      </c>
      <c r="F44" s="11" t="n">
        <v>300000</v>
      </c>
      <c r="G44" s="12" t="n">
        <v>16</v>
      </c>
      <c r="H44" s="7" t="inlineStr"/>
      <c r="I44" s="13" t="inlineStr">
        <is>
          <t>☐</t>
        </is>
      </c>
    </row>
    <row r="45" ht="26" customHeight="1">
      <c r="A45" s="3" t="inlineStr">
        <is>
          <t>14:30</t>
        </is>
      </c>
      <c r="B45" s="3" t="inlineStr">
        <is>
          <t>Hoi An Old Town entry pass</t>
        </is>
      </c>
      <c r="C45" s="3" t="inlineStr">
        <is>
          <t>on foot in Old Town</t>
        </is>
      </c>
      <c r="D45" s="14" t="n"/>
      <c r="E45" s="15" t="n"/>
      <c r="F45" s="16" t="n">
        <v>120000</v>
      </c>
      <c r="G45" s="17" t="n">
        <v>6</v>
      </c>
      <c r="H45" s="3" t="inlineStr">
        <is>
          <t>Covers 5 heritage sites</t>
        </is>
      </c>
      <c r="I45" s="18" t="inlineStr">
        <is>
          <t>☐</t>
        </is>
      </c>
    </row>
    <row r="46" ht="26" customHeight="1">
      <c r="A46" s="7" t="inlineStr">
        <is>
          <t>15:00</t>
        </is>
      </c>
      <c r="B46" s="7" t="inlineStr">
        <is>
          <t>Wander Old Town, Japanese Bridge</t>
        </is>
      </c>
      <c r="C46" s="7" t="inlineStr">
        <is>
          <t>walking circuit</t>
        </is>
      </c>
      <c r="D46" s="9" t="n">
        <v>2.5</v>
      </c>
      <c r="E46" s="10" t="n">
        <v>180</v>
      </c>
      <c r="F46" s="11" t="n"/>
      <c r="G46" s="12" t="n"/>
      <c r="H46" s="7" t="inlineStr"/>
      <c r="I46" s="13" t="inlineStr">
        <is>
          <t>☐</t>
        </is>
      </c>
    </row>
    <row r="47" ht="26" customHeight="1">
      <c r="A47" s="3" t="inlineStr">
        <is>
          <t>18:00</t>
        </is>
      </c>
      <c r="B47" s="3" t="inlineStr">
        <is>
          <t>Dinner: Morning Glory / Vys Market</t>
        </is>
      </c>
      <c r="C47" s="3" t="inlineStr">
        <is>
          <t>in Old Town</t>
        </is>
      </c>
      <c r="D47" s="14" t="n"/>
      <c r="E47" s="15" t="n"/>
      <c r="F47" s="16" t="n">
        <v>500000</v>
      </c>
      <c r="G47" s="17" t="n">
        <v>27</v>
      </c>
      <c r="H47" s="3" t="inlineStr">
        <is>
          <t>Per pax</t>
        </is>
      </c>
      <c r="I47" s="18" t="inlineStr">
        <is>
          <t>☐</t>
        </is>
      </c>
    </row>
    <row r="48" ht="26" customHeight="1">
      <c r="A48" s="7" t="inlineStr">
        <is>
          <t>19:30</t>
        </is>
      </c>
      <c r="B48" s="7" t="inlineStr">
        <is>
          <t>Lantern boat on Hoài River</t>
        </is>
      </c>
      <c r="C48" s="7" t="inlineStr">
        <is>
          <t>riverside</t>
        </is>
      </c>
      <c r="D48" s="9" t="n"/>
      <c r="E48" s="10" t="n"/>
      <c r="F48" s="11" t="n">
        <v>100000</v>
      </c>
      <c r="G48" s="12" t="n">
        <v>5</v>
      </c>
      <c r="H48" s="7" t="inlineStr">
        <is>
          <t>Negotiate BEFORE boarding</t>
        </is>
      </c>
      <c r="I48" s="13" t="inlineStr">
        <is>
          <t>☐</t>
        </is>
      </c>
    </row>
    <row r="49" ht="26" customHeight="1">
      <c r="A49" s="3" t="inlineStr">
        <is>
          <t>21:30</t>
        </is>
      </c>
      <c r="B49" s="3" t="inlineStr">
        <is>
          <t>Grab back to Da Nang</t>
        </is>
      </c>
      <c r="C49" s="3" t="inlineStr">
        <is>
          <t>Hoi An → My Khe</t>
        </is>
      </c>
      <c r="D49" s="14" t="n">
        <v>30</v>
      </c>
      <c r="E49" s="15" t="n">
        <v>42</v>
      </c>
      <c r="F49" s="16" t="n">
        <v>300000</v>
      </c>
      <c r="G49" s="17" t="n">
        <v>16</v>
      </c>
      <c r="H49" s="3" t="inlineStr"/>
      <c r="I49" s="18" t="inlineStr">
        <is>
          <t>☐</t>
        </is>
      </c>
    </row>
    <row r="50">
      <c r="A50" s="19" t="inlineStr">
        <is>
          <t>Day total</t>
        </is>
      </c>
      <c r="B50" s="19" t="n"/>
      <c r="C50" s="19" t="n"/>
      <c r="D50" s="20">
        <f>SUM(D40:D49)</f>
        <v/>
      </c>
      <c r="E50" s="21">
        <f>SUM(E40:E49)</f>
        <v/>
      </c>
      <c r="F50" s="22">
        <f>SUM(F40:F49)</f>
        <v/>
      </c>
      <c r="G50" s="23">
        <f>SUM(G40:G49)</f>
        <v/>
      </c>
      <c r="H50" s="19" t="n"/>
      <c r="I50" s="24" t="n"/>
    </row>
    <row r="52" ht="22" customHeight="1">
      <c r="A52" s="8" t="inlineStr">
        <is>
          <t>Day 4 — Mon 17 Aug: Son Tra + Spa Reset</t>
        </is>
      </c>
    </row>
    <row r="53">
      <c r="A53" s="6" t="inlineStr">
        <is>
          <t>Time</t>
        </is>
      </c>
      <c r="B53" s="6" t="inlineStr">
        <is>
          <t>Activity</t>
        </is>
      </c>
      <c r="C53" s="6" t="inlineStr">
        <is>
          <t>From → To</t>
        </is>
      </c>
      <c r="D53" s="6" t="inlineStr">
        <is>
          <t>Dist (km)</t>
        </is>
      </c>
      <c r="E53" s="6" t="inlineStr">
        <is>
          <t>Travel (min)</t>
        </is>
      </c>
      <c r="F53" s="6" t="inlineStr">
        <is>
          <t>Cost (VND)</t>
        </is>
      </c>
      <c r="G53" s="6" t="inlineStr">
        <is>
          <t>Cost (SGD)</t>
        </is>
      </c>
      <c r="H53" s="6" t="inlineStr">
        <is>
          <t>Notes</t>
        </is>
      </c>
      <c r="I53" s="6" t="inlineStr">
        <is>
          <t>✓</t>
        </is>
      </c>
    </row>
    <row r="54" ht="26" customHeight="1">
      <c r="A54" s="7" t="inlineStr">
        <is>
          <t>09:00</t>
        </is>
      </c>
      <c r="B54" s="7" t="inlineStr">
        <is>
          <t>Grab to Son Tra peninsula</t>
        </is>
      </c>
      <c r="C54" s="7" t="inlineStr">
        <is>
          <t>My Khe → Son Tra</t>
        </is>
      </c>
      <c r="D54" s="9" t="n">
        <v>12</v>
      </c>
      <c r="E54" s="10" t="n">
        <v>22</v>
      </c>
      <c r="F54" s="11" t="n">
        <v>120000</v>
      </c>
      <c r="G54" s="12" t="n">
        <v>6</v>
      </c>
      <c r="H54" s="7" t="inlineStr">
        <is>
          <t>Winding coastal road</t>
        </is>
      </c>
      <c r="I54" s="13" t="inlineStr">
        <is>
          <t>☐</t>
        </is>
      </c>
    </row>
    <row r="55" ht="26" customHeight="1">
      <c r="A55" s="3" t="inlineStr">
        <is>
          <t>09:30</t>
        </is>
      </c>
      <c r="B55" s="3" t="inlineStr">
        <is>
          <t>Linh Ung Pagoda + Lady Buddha</t>
        </is>
      </c>
      <c r="C55" s="3" t="inlineStr">
        <is>
          <t>on-site</t>
        </is>
      </c>
      <c r="D55" s="14" t="n">
        <v>0.8</v>
      </c>
      <c r="E55" s="15" t="n">
        <v>60</v>
      </c>
      <c r="F55" s="16" t="n"/>
      <c r="G55" s="17" t="n"/>
      <c r="H55" s="3" t="inlineStr">
        <is>
          <t>Modest dress; spot monkeys</t>
        </is>
      </c>
      <c r="I55" s="18" t="inlineStr">
        <is>
          <t>☐</t>
        </is>
      </c>
    </row>
    <row r="56" ht="26" customHeight="1">
      <c r="A56" s="7" t="inlineStr">
        <is>
          <t>11:00</t>
        </is>
      </c>
      <c r="B56" s="7" t="inlineStr">
        <is>
          <t>Bãi Bụt viewpoint detour</t>
        </is>
      </c>
      <c r="C56" s="7" t="inlineStr">
        <is>
          <t>Son Tra coastal</t>
        </is>
      </c>
      <c r="D56" s="9" t="n">
        <v>3.5</v>
      </c>
      <c r="E56" s="10" t="n">
        <v>30</v>
      </c>
      <c r="F56" s="11" t="n"/>
      <c r="G56" s="12" t="n"/>
      <c r="H56" s="7" t="inlineStr"/>
      <c r="I56" s="13" t="inlineStr">
        <is>
          <t>☐</t>
        </is>
      </c>
    </row>
    <row r="57" ht="26" customHeight="1">
      <c r="A57" s="3" t="inlineStr">
        <is>
          <t>12:00</t>
        </is>
      </c>
      <c r="B57" s="3" t="inlineStr">
        <is>
          <t>Grab back to city</t>
        </is>
      </c>
      <c r="C57" s="3" t="inlineStr">
        <is>
          <t>Son Tra → city</t>
        </is>
      </c>
      <c r="D57" s="14" t="n">
        <v>12</v>
      </c>
      <c r="E57" s="15" t="n">
        <v>22</v>
      </c>
      <c r="F57" s="16" t="n">
        <v>120000</v>
      </c>
      <c r="G57" s="17" t="n">
        <v>6</v>
      </c>
      <c r="H57" s="3" t="inlineStr"/>
      <c r="I57" s="18" t="inlineStr">
        <is>
          <t>☐</t>
        </is>
      </c>
    </row>
    <row r="58" ht="26" customHeight="1">
      <c r="A58" s="7" t="inlineStr">
        <is>
          <t>12:30</t>
        </is>
      </c>
      <c r="B58" s="7" t="inlineStr">
        <is>
          <t>Lunch: Mì Quảng Ếch Bếp Trang</t>
        </is>
      </c>
      <c r="C58" s="7" t="inlineStr">
        <is>
          <t>city centre</t>
        </is>
      </c>
      <c r="D58" s="9" t="n"/>
      <c r="E58" s="10" t="n"/>
      <c r="F58" s="11" t="n">
        <v>150000</v>
      </c>
      <c r="G58" s="12" t="n">
        <v>8</v>
      </c>
      <c r="H58" s="7" t="inlineStr"/>
      <c r="I58" s="13" t="inlineStr">
        <is>
          <t>☐</t>
        </is>
      </c>
    </row>
    <row r="59" ht="26" customHeight="1">
      <c r="A59" s="3" t="inlineStr">
        <is>
          <t>14:00</t>
        </is>
      </c>
      <c r="B59" s="3" t="inlineStr">
        <is>
          <t>Hotel break / pool / beach</t>
        </is>
      </c>
      <c r="C59" s="3" t="inlineStr">
        <is>
          <t>city → Hotel</t>
        </is>
      </c>
      <c r="D59" s="14" t="n">
        <v>4</v>
      </c>
      <c r="E59" s="15" t="n">
        <v>12</v>
      </c>
      <c r="F59" s="16" t="n">
        <v>80000</v>
      </c>
      <c r="G59" s="17" t="n">
        <v>4</v>
      </c>
      <c r="H59" s="3" t="inlineStr"/>
      <c r="I59" s="18" t="inlineStr">
        <is>
          <t>☐</t>
        </is>
      </c>
    </row>
    <row r="60" ht="26" customHeight="1">
      <c r="A60" s="7" t="inlineStr">
        <is>
          <t>15:00</t>
        </is>
      </c>
      <c r="B60" s="7" t="inlineStr">
        <is>
          <t>Spa: Babylon or Queen (120-min)</t>
        </is>
      </c>
      <c r="C60" s="7" t="inlineStr">
        <is>
          <t>Hotel area</t>
        </is>
      </c>
      <c r="D60" s="9" t="n">
        <v>0.5</v>
      </c>
      <c r="E60" s="10" t="n">
        <v>5</v>
      </c>
      <c r="F60" s="11" t="n">
        <v>900000</v>
      </c>
      <c r="G60" s="12" t="n">
        <v>49</v>
      </c>
      <c r="H60" s="7" t="inlineStr"/>
      <c r="I60" s="13" t="inlineStr">
        <is>
          <t>☐</t>
        </is>
      </c>
    </row>
    <row r="61" ht="26" customHeight="1">
      <c r="A61" s="3" t="inlineStr">
        <is>
          <t>18:30</t>
        </is>
      </c>
      <c r="B61" s="3" t="inlineStr">
        <is>
          <t>Han or Con Market — souvenirs</t>
        </is>
      </c>
      <c r="C61" s="3" t="inlineStr">
        <is>
          <t>My Khe → Han Market</t>
        </is>
      </c>
      <c r="D61" s="14" t="n">
        <v>4</v>
      </c>
      <c r="E61" s="15" t="n">
        <v>14</v>
      </c>
      <c r="F61" s="16" t="n">
        <v>80000</v>
      </c>
      <c r="G61" s="17" t="n">
        <v>4</v>
      </c>
      <c r="H61" s="3" t="inlineStr">
        <is>
          <t>Bargain 30–50%</t>
        </is>
      </c>
      <c r="I61" s="18" t="inlineStr">
        <is>
          <t>☐</t>
        </is>
      </c>
    </row>
    <row r="62" ht="26" customHeight="1">
      <c r="A62" s="7" t="inlineStr">
        <is>
          <t>20:00</t>
        </is>
      </c>
      <c r="B62" s="7" t="inlineStr">
        <is>
          <t>Seafood dinner: Mộc Hải Sản</t>
        </is>
      </c>
      <c r="C62" s="7" t="inlineStr">
        <is>
          <t>Han → beach strip</t>
        </is>
      </c>
      <c r="D62" s="9" t="n">
        <v>3.5</v>
      </c>
      <c r="E62" s="10" t="n">
        <v>12</v>
      </c>
      <c r="F62" s="11" t="n">
        <v>800000</v>
      </c>
      <c r="G62" s="12" t="n">
        <v>43</v>
      </c>
      <c r="H62" s="7" t="inlineStr">
        <is>
          <t>Per pax; pick by weight</t>
        </is>
      </c>
      <c r="I62" s="13" t="inlineStr">
        <is>
          <t>☐</t>
        </is>
      </c>
    </row>
    <row r="63" ht="26" customHeight="1">
      <c r="A63" s="3" t="inlineStr">
        <is>
          <t>22:00</t>
        </is>
      </c>
      <c r="B63" s="3" t="inlineStr">
        <is>
          <t>Beach walk / hotel bar</t>
        </is>
      </c>
      <c r="C63" s="3" t="inlineStr">
        <is>
          <t>walk</t>
        </is>
      </c>
      <c r="D63" s="14" t="n">
        <v>0.3</v>
      </c>
      <c r="E63" s="15" t="n">
        <v>5</v>
      </c>
      <c r="F63" s="16" t="n"/>
      <c r="G63" s="17" t="n"/>
      <c r="H63" s="3" t="inlineStr"/>
      <c r="I63" s="18" t="inlineStr">
        <is>
          <t>☐</t>
        </is>
      </c>
    </row>
    <row r="64">
      <c r="A64" s="19" t="inlineStr">
        <is>
          <t>Day total</t>
        </is>
      </c>
      <c r="B64" s="19" t="n"/>
      <c r="C64" s="19" t="n"/>
      <c r="D64" s="20">
        <f>SUM(D54:D63)</f>
        <v/>
      </c>
      <c r="E64" s="21">
        <f>SUM(E54:E63)</f>
        <v/>
      </c>
      <c r="F64" s="22">
        <f>SUM(F54:F63)</f>
        <v/>
      </c>
      <c r="G64" s="23">
        <f>SUM(G54:G63)</f>
        <v/>
      </c>
      <c r="H64" s="19" t="n"/>
      <c r="I64" s="24" t="n"/>
    </row>
    <row r="66" ht="22" customHeight="1">
      <c r="A66" s="8" t="inlineStr">
        <is>
          <t>Day 5 — Tue 18 Aug: Café &amp; Departure</t>
        </is>
      </c>
    </row>
    <row r="67">
      <c r="A67" s="6" t="inlineStr">
        <is>
          <t>Time</t>
        </is>
      </c>
      <c r="B67" s="6" t="inlineStr">
        <is>
          <t>Activity</t>
        </is>
      </c>
      <c r="C67" s="6" t="inlineStr">
        <is>
          <t>From → To</t>
        </is>
      </c>
      <c r="D67" s="6" t="inlineStr">
        <is>
          <t>Dist (km)</t>
        </is>
      </c>
      <c r="E67" s="6" t="inlineStr">
        <is>
          <t>Travel (min)</t>
        </is>
      </c>
      <c r="F67" s="6" t="inlineStr">
        <is>
          <t>Cost (VND)</t>
        </is>
      </c>
      <c r="G67" s="6" t="inlineStr">
        <is>
          <t>Cost (SGD)</t>
        </is>
      </c>
      <c r="H67" s="6" t="inlineStr">
        <is>
          <t>Notes</t>
        </is>
      </c>
      <c r="I67" s="6" t="inlineStr">
        <is>
          <t>✓</t>
        </is>
      </c>
    </row>
    <row r="68" ht="26" customHeight="1">
      <c r="A68" s="7" t="inlineStr">
        <is>
          <t>09:00</t>
        </is>
      </c>
      <c r="B68" s="7" t="inlineStr">
        <is>
          <t>Late breakfast / packing</t>
        </is>
      </c>
      <c r="C68" s="7" t="inlineStr">
        <is>
          <t>at Hotel</t>
        </is>
      </c>
      <c r="D68" s="9" t="n"/>
      <c r="E68" s="10" t="n"/>
      <c r="F68" s="11" t="n"/>
      <c r="G68" s="12" t="n"/>
      <c r="H68" s="7" t="inlineStr"/>
      <c r="I68" s="13" t="inlineStr">
        <is>
          <t>☐</t>
        </is>
      </c>
    </row>
    <row r="69" ht="26" customHeight="1">
      <c r="A69" s="3" t="inlineStr">
        <is>
          <t>10:00</t>
        </is>
      </c>
      <c r="B69" s="3" t="inlineStr">
        <is>
          <t>Café: Cộng Cà Phê</t>
        </is>
      </c>
      <c r="C69" s="3" t="inlineStr">
        <is>
          <t>My Khe → Cộng (Bach Dang)</t>
        </is>
      </c>
      <c r="D69" s="14" t="n">
        <v>4.5</v>
      </c>
      <c r="E69" s="15" t="n">
        <v>14</v>
      </c>
      <c r="F69" s="16" t="n">
        <v>70000</v>
      </c>
      <c r="G69" s="17" t="n">
        <v>4</v>
      </c>
      <c r="H69" s="3" t="inlineStr">
        <is>
          <t>Coconut frozen coffee</t>
        </is>
      </c>
      <c r="I69" s="18" t="inlineStr">
        <is>
          <t>☐</t>
        </is>
      </c>
    </row>
    <row r="70" ht="26" customHeight="1">
      <c r="A70" s="7" t="inlineStr">
        <is>
          <t>11:30</t>
        </is>
      </c>
      <c r="B70" s="7" t="inlineStr">
        <is>
          <t>Reply 1988 / Pink Cathedral</t>
        </is>
      </c>
      <c r="C70" s="7" t="inlineStr">
        <is>
          <t>Cộng → next stop</t>
        </is>
      </c>
      <c r="D70" s="9" t="n">
        <v>1.2</v>
      </c>
      <c r="E70" s="10" t="n">
        <v>8</v>
      </c>
      <c r="F70" s="11" t="n">
        <v>50000</v>
      </c>
      <c r="G70" s="12" t="n">
        <v>3</v>
      </c>
      <c r="H70" s="7" t="inlineStr"/>
      <c r="I70" s="13" t="inlineStr">
        <is>
          <t>☐</t>
        </is>
      </c>
    </row>
    <row r="71" ht="26" customHeight="1">
      <c r="A71" s="3" t="inlineStr">
        <is>
          <t>13:00</t>
        </is>
      </c>
      <c r="B71" s="3" t="inlineStr">
        <is>
          <t>Lunch: Phở Thìn Đà Nẵng</t>
        </is>
      </c>
      <c r="C71" s="3" t="inlineStr">
        <is>
          <t>near city centre</t>
        </is>
      </c>
      <c r="D71" s="14" t="n">
        <v>1</v>
      </c>
      <c r="E71" s="15" t="n">
        <v>8</v>
      </c>
      <c r="F71" s="16" t="n">
        <v>120000</v>
      </c>
      <c r="G71" s="17" t="n">
        <v>6</v>
      </c>
      <c r="H71" s="3" t="inlineStr"/>
      <c r="I71" s="18" t="inlineStr">
        <is>
          <t>☐</t>
        </is>
      </c>
    </row>
    <row r="72" ht="26" customHeight="1">
      <c r="A72" s="7" t="inlineStr">
        <is>
          <t>14:30</t>
        </is>
      </c>
      <c r="B72" s="7" t="inlineStr">
        <is>
          <t>Return to hotel, check out</t>
        </is>
      </c>
      <c r="C72" s="7" t="inlineStr">
        <is>
          <t>city → Hotel</t>
        </is>
      </c>
      <c r="D72" s="9" t="n">
        <v>4.5</v>
      </c>
      <c r="E72" s="10" t="n">
        <v>14</v>
      </c>
      <c r="F72" s="11" t="n">
        <v>80000</v>
      </c>
      <c r="G72" s="12" t="n">
        <v>4</v>
      </c>
      <c r="H72" s="7" t="inlineStr"/>
      <c r="I72" s="13" t="inlineStr">
        <is>
          <t>☐</t>
        </is>
      </c>
    </row>
    <row r="73" ht="26" customHeight="1">
      <c r="A73" s="3" t="inlineStr">
        <is>
          <t>15:00</t>
        </is>
      </c>
      <c r="B73" s="3" t="inlineStr">
        <is>
          <t>Grab to airport (3hr buffer)</t>
        </is>
      </c>
      <c r="C73" s="3" t="inlineStr">
        <is>
          <t>Hotel → DAD</t>
        </is>
      </c>
      <c r="D73" s="14" t="n">
        <v>6</v>
      </c>
      <c r="E73" s="15" t="n">
        <v>18</v>
      </c>
      <c r="F73" s="16" t="n">
        <v>150000</v>
      </c>
      <c r="G73" s="17" t="n">
        <v>8</v>
      </c>
      <c r="H73" s="3" t="inlineStr">
        <is>
          <t>Revised earlier</t>
        </is>
      </c>
      <c r="I73" s="18" t="inlineStr">
        <is>
          <t>☐</t>
        </is>
      </c>
    </row>
    <row r="74" ht="26" customHeight="1">
      <c r="A74" s="7" t="inlineStr">
        <is>
          <t>15:30</t>
        </is>
      </c>
      <c r="B74" s="7" t="inlineStr">
        <is>
          <t>Arrive DAD — 3hr buffer ✅</t>
        </is>
      </c>
      <c r="C74" s="7" t="inlineStr">
        <is>
          <t>at DAD</t>
        </is>
      </c>
      <c r="D74" s="9" t="n"/>
      <c r="E74" s="10" t="n"/>
      <c r="F74" s="11" t="n"/>
      <c r="G74" s="12" t="n"/>
      <c r="H74" s="7" t="inlineStr">
        <is>
          <t>Scoot recommends 3hr intl</t>
        </is>
      </c>
      <c r="I74" s="13" t="inlineStr">
        <is>
          <t>☐</t>
        </is>
      </c>
    </row>
    <row r="75" ht="26" customHeight="1">
      <c r="A75" s="3" t="inlineStr">
        <is>
          <t>15:30</t>
        </is>
      </c>
      <c r="B75" s="3" t="inlineStr">
        <is>
          <t>Check-in opens</t>
        </is>
      </c>
      <c r="C75" s="3" t="inlineStr">
        <is>
          <t>at DAD</t>
        </is>
      </c>
      <c r="D75" s="14" t="n"/>
      <c r="E75" s="15" t="n"/>
      <c r="F75" s="16" t="n"/>
      <c r="G75" s="17" t="n"/>
      <c r="H75" s="3" t="inlineStr">
        <is>
          <t>T-3hr typical</t>
        </is>
      </c>
      <c r="I75" s="18" t="inlineStr">
        <is>
          <t>☐</t>
        </is>
      </c>
    </row>
    <row r="76" ht="26" customHeight="1">
      <c r="A76" s="7" t="inlineStr">
        <is>
          <t>18:30</t>
        </is>
      </c>
      <c r="B76" s="7" t="inlineStr">
        <is>
          <t>Scoot departs DAD → SIN</t>
        </is>
      </c>
      <c r="C76" s="7" t="inlineStr">
        <is>
          <t>in flight</t>
        </is>
      </c>
      <c r="D76" s="9" t="n"/>
      <c r="E76" s="10" t="n"/>
      <c r="F76" s="11" t="n"/>
      <c r="G76" s="12" t="n"/>
      <c r="H76" s="7" t="inlineStr"/>
      <c r="I76" s="13" t="inlineStr">
        <is>
          <t>☐</t>
        </is>
      </c>
    </row>
    <row r="77" ht="26" customHeight="1">
      <c r="A77" s="3" t="inlineStr">
        <is>
          <t>22:00</t>
        </is>
      </c>
      <c r="B77" s="3" t="inlineStr">
        <is>
          <t>Land SIN Changi (approx)</t>
        </is>
      </c>
      <c r="C77" s="3" t="inlineStr">
        <is>
          <t>SIN arrival</t>
        </is>
      </c>
      <c r="D77" s="14" t="n"/>
      <c r="E77" s="15" t="n"/>
      <c r="F77" s="16" t="n"/>
      <c r="G77" s="17" t="n"/>
      <c r="H77" s="3" t="inlineStr"/>
      <c r="I77" s="18" t="inlineStr">
        <is>
          <t>☐</t>
        </is>
      </c>
    </row>
    <row r="78">
      <c r="A78" s="19" t="inlineStr">
        <is>
          <t>Day total</t>
        </is>
      </c>
      <c r="B78" s="19" t="n"/>
      <c r="C78" s="19" t="n"/>
      <c r="D78" s="20">
        <f>SUM(D68:D77)</f>
        <v/>
      </c>
      <c r="E78" s="21">
        <f>SUM(E68:E77)</f>
        <v/>
      </c>
      <c r="F78" s="22">
        <f>SUM(F68:F77)</f>
        <v/>
      </c>
      <c r="G78" s="23">
        <f>SUM(G68:G77)</f>
        <v/>
      </c>
      <c r="H78" s="19" t="n"/>
      <c r="I78" s="24" t="n"/>
    </row>
  </sheetData>
  <mergeCells count="6">
    <mergeCell ref="A52:I52"/>
    <mergeCell ref="A66:I66"/>
    <mergeCell ref="A1:I1"/>
    <mergeCell ref="A3:I3"/>
    <mergeCell ref="A20:I20"/>
    <mergeCell ref="A38:I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8" customWidth="1" min="4" max="4"/>
    <col width="18" customWidth="1" min="5" max="5"/>
    <col width="50" customWidth="1" min="6" max="6"/>
  </cols>
  <sheetData>
    <row r="1" ht="24" customHeight="1">
      <c r="A1" s="1" t="inlineStr">
        <is>
          <t>🏨 Accommodation Options — My Khe Beach Area</t>
        </is>
      </c>
    </row>
    <row r="3">
      <c r="A3" s="6" t="inlineStr">
        <is>
          <t>Hotel</t>
        </is>
      </c>
      <c r="B3" s="6" t="inlineStr">
        <is>
          <t>Tier</t>
        </is>
      </c>
      <c r="C3" s="6" t="inlineStr">
        <is>
          <t>Rating</t>
        </is>
      </c>
      <c r="D3" s="6" t="inlineStr">
        <is>
          <t>SGD/night (low)</t>
        </is>
      </c>
      <c r="E3" s="6" t="inlineStr">
        <is>
          <t>SGD/night (high)</t>
        </is>
      </c>
      <c r="F3" s="6" t="inlineStr">
        <is>
          <t>Notes</t>
        </is>
      </c>
    </row>
    <row r="4" ht="20" customHeight="1">
      <c r="A4" s="3" t="inlineStr">
        <is>
          <t>TMS Hotel Da Nang Beach</t>
        </is>
      </c>
      <c r="B4" s="3" t="inlineStr">
        <is>
          <t>Luxury</t>
        </is>
      </c>
      <c r="C4" s="3" t="inlineStr">
        <is>
          <t>4.7</t>
        </is>
      </c>
      <c r="D4" s="3" t="n">
        <v>130</v>
      </c>
      <c r="E4" s="3" t="n">
        <v>180</v>
      </c>
      <c r="F4" s="3" t="inlineStr">
        <is>
          <t>Rooftop infinity pool, beachfront</t>
        </is>
      </c>
    </row>
    <row r="5" ht="20" customHeight="1">
      <c r="A5" s="7" t="inlineStr">
        <is>
          <t>Radisson Hotel Danang</t>
        </is>
      </c>
      <c r="B5" s="7" t="inlineStr">
        <is>
          <t>Luxury</t>
        </is>
      </c>
      <c r="C5" s="7" t="inlineStr">
        <is>
          <t>4.6</t>
        </is>
      </c>
      <c r="D5" s="7" t="n">
        <v>140</v>
      </c>
      <c r="E5" s="7" t="n">
        <v>200</v>
      </c>
      <c r="F5" s="7" t="inlineStr">
        <is>
          <t>Reliable international chain</t>
        </is>
      </c>
    </row>
    <row r="6" ht="20" customHeight="1">
      <c r="A6" s="3" t="inlineStr">
        <is>
          <t>Sala Danang Beach Hotel</t>
        </is>
      </c>
      <c r="B6" s="3" t="inlineStr">
        <is>
          <t>Mid</t>
        </is>
      </c>
      <c r="C6" s="3" t="inlineStr">
        <is>
          <t>4.5</t>
        </is>
      </c>
      <c r="D6" s="3" t="n">
        <v>80</v>
      </c>
      <c r="E6" s="3" t="n">
        <v>120</v>
      </c>
      <c r="F6" s="3" t="inlineStr">
        <is>
          <t>Excellent value, rooftop pool</t>
        </is>
      </c>
    </row>
    <row r="7" ht="20" customHeight="1">
      <c r="A7" s="7" t="inlineStr">
        <is>
          <t>Chicland Danang Beach Hotel</t>
        </is>
      </c>
      <c r="B7" s="7" t="inlineStr">
        <is>
          <t>Mid</t>
        </is>
      </c>
      <c r="C7" s="7" t="inlineStr">
        <is>
          <t>4.5</t>
        </is>
      </c>
      <c r="D7" s="7" t="n">
        <v>75</v>
      </c>
      <c r="E7" s="7" t="n">
        <v>110</v>
      </c>
      <c r="F7" s="7" t="inlineStr">
        <is>
          <t>Boutique eco-design</t>
        </is>
      </c>
    </row>
    <row r="8" ht="20" customHeight="1">
      <c r="A8" s="3" t="inlineStr">
        <is>
          <t>A La Carte Da Nang Beach</t>
        </is>
      </c>
      <c r="B8" s="3" t="inlineStr">
        <is>
          <t>Mid</t>
        </is>
      </c>
      <c r="C8" s="3" t="inlineStr">
        <is>
          <t>4.4</t>
        </is>
      </c>
      <c r="D8" s="3" t="n">
        <v>90</v>
      </c>
      <c r="E8" s="3" t="n">
        <v>130</v>
      </c>
      <c r="F8" s="3" t="inlineStr">
        <is>
          <t>Iconic rooftop bar</t>
        </is>
      </c>
    </row>
    <row r="9" ht="20" customHeight="1">
      <c r="A9" s="7" t="inlineStr">
        <is>
          <t>Furama Resort Danang</t>
        </is>
      </c>
      <c r="B9" s="7" t="inlineStr">
        <is>
          <t>Resort</t>
        </is>
      </c>
      <c r="C9" s="7" t="inlineStr">
        <is>
          <t>4.6</t>
        </is>
      </c>
      <c r="D9" s="7" t="n">
        <v>180</v>
      </c>
      <c r="E9" s="7" t="n">
        <v>280</v>
      </c>
      <c r="F9" s="7" t="inlineStr">
        <is>
          <t>Full resort 10 min south</t>
        </is>
      </c>
    </row>
    <row r="10">
      <c r="A10" s="25" t="inlineStr">
        <is>
          <t>Recommendation: Single hotel 4 nights (TMS or Sala). Free Cancellation rate on Agoda/Booking.</t>
        </is>
      </c>
    </row>
  </sheetData>
  <mergeCells count="2"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50" customWidth="1" min="4" max="4"/>
    <col width="30" customWidth="1" min="5" max="5"/>
  </cols>
  <sheetData>
    <row r="1" ht="24" customHeight="1">
      <c r="A1" s="1" t="inlineStr">
        <is>
          <t>🍜 Food / 💆 Spa / 🍻 Nightlife</t>
        </is>
      </c>
    </row>
    <row r="3">
      <c r="A3" s="26" t="inlineStr">
        <is>
          <t>🍜 Food — Must-Try</t>
        </is>
      </c>
    </row>
    <row r="4">
      <c r="A4" s="6" t="inlineStr">
        <is>
          <t>Place</t>
        </is>
      </c>
      <c r="B4" s="6" t="inlineStr">
        <is>
          <t>Area</t>
        </is>
      </c>
      <c r="C4" s="6" t="inlineStr">
        <is>
          <t>Price (VND/pax)</t>
        </is>
      </c>
      <c r="D4" s="6" t="inlineStr">
        <is>
          <t>Notes</t>
        </is>
      </c>
      <c r="E4" s="6" t="inlineStr">
        <is>
          <t>When</t>
        </is>
      </c>
    </row>
    <row r="5" ht="20" customHeight="1">
      <c r="A5" s="3" t="inlineStr">
        <is>
          <t>Bếp Cuốn Đà Nẵng</t>
        </is>
      </c>
      <c r="B5" s="3" t="inlineStr">
        <is>
          <t>My Khe</t>
        </is>
      </c>
      <c r="C5" s="3" t="inlineStr">
        <is>
          <t>100k–300k</t>
        </is>
      </c>
      <c r="D5" s="3" t="inlineStr">
        <is>
          <t>Bánh Xèo + DIY spring rolls</t>
        </is>
      </c>
      <c r="E5" s="3" t="inlineStr">
        <is>
          <t>Day 1 lunch</t>
        </is>
      </c>
    </row>
    <row r="6" ht="20" customHeight="1">
      <c r="A6" s="7" t="inlineStr">
        <is>
          <t>Mì Quảng Ếch Bếp Trang</t>
        </is>
      </c>
      <c r="B6" s="7" t="inlineStr">
        <is>
          <t>City</t>
        </is>
      </c>
      <c r="C6" s="7" t="inlineStr">
        <is>
          <t>100k–200k</t>
        </is>
      </c>
      <c r="D6" s="7" t="inlineStr">
        <is>
          <t>Frog-meat Mì Quảng clay pot</t>
        </is>
      </c>
      <c r="E6" s="7" t="inlineStr">
        <is>
          <t>Day 4 lunch</t>
        </is>
      </c>
    </row>
    <row r="7" ht="20" customHeight="1">
      <c r="A7" s="3" t="inlineStr">
        <is>
          <t>Morning Glory Original</t>
        </is>
      </c>
      <c r="B7" s="3" t="inlineStr">
        <is>
          <t>Hoi An</t>
        </is>
      </c>
      <c r="C7" s="3" t="inlineStr">
        <is>
          <t>300k–500k</t>
        </is>
      </c>
      <c r="D7" s="3" t="inlineStr">
        <is>
          <t>Cao Lầu, White Rose dumplings</t>
        </is>
      </c>
      <c r="E7" s="3" t="inlineStr">
        <is>
          <t>Day 3 dinner</t>
        </is>
      </c>
    </row>
    <row r="8" ht="20" customHeight="1">
      <c r="A8" s="7" t="inlineStr">
        <is>
          <t>Vys Market Restaurant</t>
        </is>
      </c>
      <c r="B8" s="7" t="inlineStr">
        <is>
          <t>Hoi An</t>
        </is>
      </c>
      <c r="C8" s="7" t="inlineStr">
        <is>
          <t>300k–500k</t>
        </is>
      </c>
      <c r="D8" s="7" t="inlineStr">
        <is>
          <t>Market-style hawker hall</t>
        </is>
      </c>
      <c r="E8" s="7" t="inlineStr">
        <is>
          <t>Alt Day 3</t>
        </is>
      </c>
    </row>
    <row r="9" ht="20" customHeight="1">
      <c r="A9" s="3" t="inlineStr">
        <is>
          <t>Mộc Hải Sản</t>
        </is>
      </c>
      <c r="B9" s="3" t="inlineStr">
        <is>
          <t>Beach strip</t>
        </is>
      </c>
      <c r="C9" s="3" t="inlineStr">
        <is>
          <t>500k–1M pp</t>
        </is>
      </c>
      <c r="D9" s="3" t="inlineStr">
        <is>
          <t>Live tank seafood</t>
        </is>
      </c>
      <c r="E9" s="3" t="inlineStr">
        <is>
          <t>Day 4 dinner</t>
        </is>
      </c>
    </row>
    <row r="10" ht="20" customHeight="1">
      <c r="A10" s="7" t="inlineStr">
        <is>
          <t>Cộng Cà Phê</t>
        </is>
      </c>
      <c r="B10" s="7" t="inlineStr">
        <is>
          <t>Multiple</t>
        </is>
      </c>
      <c r="C10" s="7" t="inlineStr">
        <is>
          <t>50k–100k</t>
        </is>
      </c>
      <c r="D10" s="7" t="inlineStr">
        <is>
          <t>Coconut frozen coffee</t>
        </is>
      </c>
      <c r="E10" s="7" t="inlineStr">
        <is>
          <t>Day 5 morning</t>
        </is>
      </c>
    </row>
    <row r="11" ht="20" customHeight="1">
      <c r="A11" s="3" t="inlineStr">
        <is>
          <t>Reply 1988 Café</t>
        </is>
      </c>
      <c r="B11" s="3" t="inlineStr">
        <is>
          <t>City</t>
        </is>
      </c>
      <c r="C11" s="3" t="inlineStr">
        <is>
          <t>60k–120k</t>
        </is>
      </c>
      <c r="D11" s="3" t="inlineStr">
        <is>
          <t>Minimalist modern café</t>
        </is>
      </c>
      <c r="E11" s="3" t="inlineStr">
        <is>
          <t>Day 5 alt</t>
        </is>
      </c>
    </row>
    <row r="12" ht="20" customHeight="1">
      <c r="A12" s="7" t="inlineStr">
        <is>
          <t>Phở Thìn Đà Nẵng</t>
        </is>
      </c>
      <c r="B12" s="7" t="inlineStr">
        <is>
          <t>City</t>
        </is>
      </c>
      <c r="C12" s="7" t="inlineStr">
        <is>
          <t>80k–150k</t>
        </is>
      </c>
      <c r="D12" s="7" t="inlineStr">
        <is>
          <t>Northern-style beef pho</t>
        </is>
      </c>
      <c r="E12" s="7" t="inlineStr">
        <is>
          <t>Day 5 lunch</t>
        </is>
      </c>
    </row>
    <row r="14">
      <c r="A14" s="26" t="inlineStr">
        <is>
          <t>💆 Spas</t>
        </is>
      </c>
    </row>
    <row r="15">
      <c r="A15" s="6" t="inlineStr">
        <is>
          <t>Spa</t>
        </is>
      </c>
      <c r="B15" s="6" t="inlineStr">
        <is>
          <t>Area</t>
        </is>
      </c>
      <c r="C15" s="6" t="inlineStr">
        <is>
          <t>Price (VND)</t>
        </is>
      </c>
      <c r="D15" s="6" t="inlineStr">
        <is>
          <t>Notes</t>
        </is>
      </c>
      <c r="E15" s="6" t="inlineStr">
        <is>
          <t>When</t>
        </is>
      </c>
    </row>
    <row r="16" ht="20" customHeight="1">
      <c r="A16" s="3" t="inlineStr">
        <is>
          <t>Herbal Spa Da Nang</t>
        </is>
      </c>
      <c r="B16" s="3" t="inlineStr">
        <is>
          <t>My Khe</t>
        </is>
      </c>
      <c r="C16" s="3" t="inlineStr">
        <is>
          <t>500k–900k</t>
        </is>
      </c>
      <c r="D16" s="3" t="inlineStr">
        <is>
          <t>Botanical + minority-tribe massage; leafy oasis</t>
        </is>
      </c>
      <c r="E16" s="3" t="inlineStr">
        <is>
          <t>Day 1 v1; v2 moves spa to Day 4</t>
        </is>
      </c>
    </row>
    <row r="17" ht="20" customHeight="1">
      <c r="A17" s="7" t="inlineStr">
        <is>
          <t>Babylon Spa</t>
        </is>
      </c>
      <c r="B17" s="7" t="inlineStr">
        <is>
          <t>My Khe</t>
        </is>
      </c>
      <c r="C17" s="7" t="inlineStr">
        <is>
          <t>700k–1.2M</t>
        </is>
      </c>
      <c r="D17" s="7" t="inlineStr">
        <is>
          <t>Luxury private rooms, hot stone</t>
        </is>
      </c>
      <c r="E17" s="7" t="inlineStr">
        <is>
          <t>Day 4 option A</t>
        </is>
      </c>
    </row>
    <row r="18" ht="20" customHeight="1">
      <c r="A18" s="3" t="inlineStr">
        <is>
          <t>Queen Spa</t>
        </is>
      </c>
      <c r="B18" s="3" t="inlineStr">
        <is>
          <t>My Khe</t>
        </is>
      </c>
      <c r="C18" s="3" t="inlineStr">
        <is>
          <t>600k–1M</t>
        </is>
      </c>
      <c r="D18" s="3" t="inlineStr">
        <is>
          <t>Bamboo &amp; herbal-bag pioneers</t>
        </is>
      </c>
      <c r="E18" s="3" t="inlineStr">
        <is>
          <t>Day 4 option B</t>
        </is>
      </c>
    </row>
    <row r="19" ht="20" customHeight="1">
      <c r="A19" s="7" t="inlineStr">
        <is>
          <t>Charm Spa Grand</t>
        </is>
      </c>
      <c r="B19" s="7" t="inlineStr">
        <is>
          <t>My Khe</t>
        </is>
      </c>
      <c r="C19" s="7" t="inlineStr">
        <is>
          <t>500k–800k</t>
        </is>
      </c>
      <c r="D19" s="7" t="inlineStr">
        <is>
          <t>New high-end, less booked</t>
        </is>
      </c>
      <c r="E19" s="7" t="inlineStr">
        <is>
          <t>Backup</t>
        </is>
      </c>
    </row>
    <row r="21">
      <c r="A21" s="26" t="inlineStr">
        <is>
          <t>🍻 Nightlife</t>
        </is>
      </c>
    </row>
    <row r="22">
      <c r="A22" s="6" t="inlineStr">
        <is>
          <t>Venue</t>
        </is>
      </c>
      <c r="B22" s="6" t="inlineStr">
        <is>
          <t>Area</t>
        </is>
      </c>
      <c r="C22" s="6" t="inlineStr">
        <is>
          <t>Price (VND)</t>
        </is>
      </c>
      <c r="D22" s="6" t="inlineStr">
        <is>
          <t>Notes</t>
        </is>
      </c>
      <c r="E22" s="6" t="inlineStr">
        <is>
          <t>When</t>
        </is>
      </c>
    </row>
    <row r="23" ht="20" customHeight="1">
      <c r="A23" s="3" t="inlineStr">
        <is>
          <t>Da Nang Nightlife Crawl</t>
        </is>
      </c>
      <c r="B23" s="3" t="inlineStr">
        <is>
          <t>An Thuong</t>
        </is>
      </c>
      <c r="C23" s="3" t="inlineStr">
        <is>
          <t>300k</t>
        </is>
      </c>
      <c r="D23" s="3" t="inlineStr">
        <is>
          <t>Sat 21:30; 4 venues incl shot + transport. CONFIRM</t>
        </is>
      </c>
      <c r="E23" s="3" t="inlineStr">
        <is>
          <t>Day 2</t>
        </is>
      </c>
    </row>
    <row r="24" ht="20" customHeight="1">
      <c r="A24" s="7" t="inlineStr">
        <is>
          <t>XOXO Bar</t>
        </is>
      </c>
      <c r="B24" s="7" t="inlineStr">
        <is>
          <t>An Thuong</t>
        </is>
      </c>
      <c r="C24" s="7" t="inlineStr">
        <is>
          <t>80k–200k</t>
        </is>
      </c>
      <c r="D24" s="7" t="inlineStr">
        <is>
          <t>Crawl start, expat-friendly</t>
        </is>
      </c>
      <c r="E24" s="7" t="inlineStr">
        <is>
          <t>Day 2</t>
        </is>
      </c>
    </row>
    <row r="25" ht="20" customHeight="1">
      <c r="A25" s="3" t="inlineStr">
        <is>
          <t>Le Funky Donkey</t>
        </is>
      </c>
      <c r="B25" s="3" t="inlineStr">
        <is>
          <t>An Thuong</t>
        </is>
      </c>
      <c r="C25" s="3" t="inlineStr">
        <is>
          <t>80k–200k</t>
        </is>
      </c>
      <c r="D25" s="3" t="inlineStr">
        <is>
          <t>Lively bar/lounge</t>
        </is>
      </c>
      <c r="E25" s="3" t="inlineStr">
        <is>
          <t>Day 2</t>
        </is>
      </c>
    </row>
    <row r="26" ht="20" customHeight="1">
      <c r="A26" s="7" t="inlineStr">
        <is>
          <t>Karma Lounge</t>
        </is>
      </c>
      <c r="B26" s="7" t="inlineStr">
        <is>
          <t>An Thuong</t>
        </is>
      </c>
      <c r="C26" s="7" t="inlineStr">
        <is>
          <t>150k–300k</t>
        </is>
      </c>
      <c r="D26" s="7" t="inlineStr">
        <is>
          <t>Club-lounge crossover</t>
        </is>
      </c>
      <c r="E26" s="7" t="inlineStr">
        <is>
          <t>Day 2 late</t>
        </is>
      </c>
    </row>
    <row r="27" ht="20" customHeight="1">
      <c r="A27" s="3" t="inlineStr">
        <is>
          <t>Hair of the Dog</t>
        </is>
      </c>
      <c r="B27" s="3" t="inlineStr">
        <is>
          <t>An Thuong</t>
        </is>
      </c>
      <c r="C27" s="3" t="inlineStr">
        <is>
          <t>100k–250k</t>
        </is>
      </c>
      <c r="D27" s="3" t="inlineStr">
        <is>
          <t>Late-night dance floor</t>
        </is>
      </c>
      <c r="E27" s="3" t="inlineStr">
        <is>
          <t>Day 2 late</t>
        </is>
      </c>
    </row>
    <row r="28" ht="20" customHeight="1">
      <c r="A28" s="7" t="inlineStr">
        <is>
          <t>Sky36 Rooftop</t>
        </is>
      </c>
      <c r="B28" s="7" t="inlineStr">
        <is>
          <t>City</t>
        </is>
      </c>
      <c r="C28" s="7" t="inlineStr">
        <is>
          <t>300k–600k</t>
        </is>
      </c>
      <c r="D28" s="7" t="inlineStr">
        <is>
          <t>Han River rooftop; crawl alternative</t>
        </is>
      </c>
      <c r="E28" s="7" t="inlineStr">
        <is>
          <t>Day 2 fallback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24" customHeight="1">
      <c r="A1" s="1" t="inlineStr">
        <is>
          <t>🧭 Practical Info</t>
        </is>
      </c>
    </row>
    <row r="3" ht="28" customHeight="1">
      <c r="A3" s="27" t="inlineStr">
        <is>
          <t>Visa (PH passport)</t>
        </is>
      </c>
      <c r="B3" s="3" t="inlineStr">
        <is>
          <t>Visa-exempt 21 days. No e-visa. Stamped on arrival.</t>
        </is>
      </c>
    </row>
    <row r="4" ht="28" customHeight="1">
      <c r="A4" s="27" t="inlineStr">
        <is>
          <t>Passport validity</t>
        </is>
      </c>
      <c r="B4" s="3" t="inlineStr">
        <is>
          <t>Valid ≥ 6 months beyond return date (≥ 18 Feb 2027)</t>
        </is>
      </c>
    </row>
    <row r="5" ht="28" customHeight="1">
      <c r="A5" s="27" t="inlineStr">
        <is>
          <t>Onward ticket</t>
        </is>
      </c>
      <c r="B5" s="3" t="inlineStr">
        <is>
          <t>Print Scoot return ticket; immigration may ask</t>
        </is>
      </c>
    </row>
    <row r="6" ht="28" customHeight="1">
      <c r="A6" s="27" t="inlineStr">
        <is>
          <t>Hotel booking proof</t>
        </is>
      </c>
      <c r="B6" s="3" t="inlineStr">
        <is>
          <t>Have on phone + printed</t>
        </is>
      </c>
    </row>
    <row r="7" ht="28" customHeight="1">
      <c r="A7" s="27" t="inlineStr">
        <is>
          <t>Currency</t>
        </is>
      </c>
      <c r="B7" s="3" t="inlineStr">
        <is>
          <t>VND only; SGD/USD not accepted</t>
        </is>
      </c>
    </row>
    <row r="8" ht="28" customHeight="1">
      <c r="A8" s="27" t="inlineStr">
        <is>
          <t>Exchange rate</t>
        </is>
      </c>
      <c r="B8" s="3" t="inlineStr">
        <is>
          <t>~18,500–19,000 VND = 1 SGD (recheck XE.com)</t>
        </is>
      </c>
    </row>
    <row r="9" ht="28" customHeight="1">
      <c r="A9" s="27" t="inlineStr">
        <is>
          <t>Best ATMs</t>
        </is>
      </c>
      <c r="B9" s="3" t="inlineStr">
        <is>
          <t>BIDV, Vietcombank. AVOID yellow Euronet.</t>
        </is>
      </c>
    </row>
    <row r="10" ht="28" customHeight="1">
      <c r="A10" s="27" t="inlineStr">
        <is>
          <t>Cards</t>
        </is>
      </c>
      <c r="B10" s="3" t="inlineStr">
        <is>
          <t>Visa/MC at hotels, malls, mid+ restaurants. Cash for street/markets.</t>
        </is>
      </c>
    </row>
    <row r="11" ht="28" customHeight="1">
      <c r="A11" s="27" t="inlineStr">
        <is>
          <t>Cash bring</t>
        </is>
      </c>
      <c r="B11" s="3" t="inlineStr">
        <is>
          <t>2–3M VND (~S$110–165) for street/markets</t>
        </is>
      </c>
    </row>
    <row r="12" ht="28" customHeight="1">
      <c r="A12" s="27" t="inlineStr">
        <is>
          <t>Tipping</t>
        </is>
      </c>
      <c r="B12" s="3" t="inlineStr">
        <is>
          <t>Not mandatory. 10% sit-down. Spa: 50–100k pp.</t>
        </is>
      </c>
    </row>
    <row r="13" ht="28" customHeight="1">
      <c r="A13" s="27" t="inlineStr">
        <is>
          <t>SIM/eSIM</t>
        </is>
      </c>
      <c r="B13" s="3" t="inlineStr">
        <is>
          <t>Viettel ~250k 30-day 60GB at DAD. OR Airalo/Klook eSIM ~S$10–15.</t>
        </is>
      </c>
    </row>
    <row r="14" ht="28" customHeight="1">
      <c r="A14" s="27" t="inlineStr">
        <is>
          <t>Power</t>
        </is>
      </c>
      <c r="B14" s="3" t="inlineStr">
        <is>
          <t>220V/50Hz, Type A/C/F. SG/UK Type G NOT compatible.</t>
        </is>
      </c>
    </row>
    <row r="15" ht="28" customHeight="1">
      <c r="A15" s="27" t="inlineStr">
        <is>
          <t>Tap water</t>
        </is>
      </c>
      <c r="B15" s="3" t="inlineStr">
        <is>
          <t>NOT potable. Bottled only. Hotels supply 2 bottles/day.</t>
        </is>
      </c>
    </row>
    <row r="16" ht="28" customHeight="1">
      <c r="A16" s="27" t="inlineStr">
        <is>
          <t>Weather Aug</t>
        </is>
      </c>
      <c r="B16" s="3" t="inlineStr">
        <is>
          <t>27–34°C, 75–85% humidity. Historically dry, rising afternoon storms. Pack rain shell.</t>
        </is>
      </c>
    </row>
    <row r="17" ht="28" customHeight="1">
      <c r="A17" s="27" t="inlineStr">
        <is>
          <t>Sun protection</t>
        </is>
      </c>
      <c r="B17" s="3" t="inlineStr">
        <is>
          <t>SPF 50+, reef-safe, sunglasses, hat</t>
        </is>
      </c>
    </row>
    <row r="18" ht="28" customHeight="1">
      <c r="A18" s="27" t="inlineStr">
        <is>
          <t>Temple dress</t>
        </is>
      </c>
      <c r="B18" s="3" t="inlineStr">
        <is>
          <t>Linh Ung: covered shoulders &amp; knees. Carry scarf.</t>
        </is>
      </c>
    </row>
    <row r="19" ht="28" customHeight="1">
      <c r="A19" s="27" t="inlineStr">
        <is>
          <t>Apps</t>
        </is>
      </c>
      <c r="B19" s="3" t="inlineStr">
        <is>
          <t>Grab, Klook, Pelago, Google Maps offline DAD, Google Translate VI offline, XE, WhatsApp, Scoot</t>
        </is>
      </c>
    </row>
    <row r="20" ht="28" customHeight="1">
      <c r="A20" s="27" t="inlineStr">
        <is>
          <t>Useful Vietnamese</t>
        </is>
      </c>
      <c r="B20" s="3" t="inlineStr">
        <is>
          <t>Xin chào (hi), Cảm ơn (thanks), Bao nhiêu (how much), Quá đắt (too expensive)</t>
        </is>
      </c>
    </row>
    <row r="21" ht="28" customHeight="1">
      <c r="A21" s="27" t="inlineStr">
        <is>
          <t>Emergency</t>
        </is>
      </c>
      <c r="B21" s="3" t="inlineStr">
        <is>
          <t>Police 113 / Ambulance 115 / Fire 114</t>
        </is>
      </c>
    </row>
    <row r="22" ht="28" customHeight="1">
      <c r="A22" s="27" t="inlineStr">
        <is>
          <t>PH Embassy Hanoi</t>
        </is>
      </c>
      <c r="B22" s="3" t="inlineStr">
        <is>
          <t>+84 24 3943 7948; no DN consulate</t>
        </is>
      </c>
    </row>
    <row r="23" ht="28" customHeight="1">
      <c r="A23" s="27" t="inlineStr">
        <is>
          <t>SG Embassy Hanoi (backup)</t>
        </is>
      </c>
      <c r="B23" s="3" t="inlineStr">
        <is>
          <t>+84 24 3848 9168 (if SG-resident)</t>
        </is>
      </c>
    </row>
    <row r="24" ht="28" customHeight="1">
      <c r="A24" s="27" t="inlineStr">
        <is>
          <t>Travel insurance</t>
        </is>
      </c>
      <c r="B24" s="3" t="inlineStr">
        <is>
          <t>AXA, FWD, MAPFRE PH, Pacific Cross — include medical evac</t>
        </is>
      </c>
    </row>
  </sheetData>
  <mergeCells count="23">
    <mergeCell ref="B11:D11"/>
    <mergeCell ref="B14:D14"/>
    <mergeCell ref="B23:D23"/>
    <mergeCell ref="B8:D8"/>
    <mergeCell ref="B17:D17"/>
    <mergeCell ref="B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4:D4"/>
    <mergeCell ref="B7:D7"/>
    <mergeCell ref="B16:D16"/>
    <mergeCell ref="B3:D3"/>
    <mergeCell ref="B22:D22"/>
    <mergeCell ref="B18:D18"/>
    <mergeCell ref="B21:D21"/>
    <mergeCell ref="B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0" customWidth="1" min="3" max="3"/>
  </cols>
  <sheetData>
    <row r="1" ht="24" customHeight="1">
      <c r="A1" s="1" t="inlineStr">
        <is>
          <t>✅ Pre-Departure Checklist</t>
        </is>
      </c>
    </row>
    <row r="3">
      <c r="A3" s="6" t="inlineStr">
        <is>
          <t>Category</t>
        </is>
      </c>
      <c r="B3" s="6" t="inlineStr">
        <is>
          <t>Item</t>
        </is>
      </c>
      <c r="C3" s="6" t="inlineStr">
        <is>
          <t>Done?</t>
        </is>
      </c>
    </row>
    <row r="4" ht="22" customHeight="1">
      <c r="A4" s="27" t="inlineStr">
        <is>
          <t>Documents</t>
        </is>
      </c>
      <c r="B4" s="28" t="inlineStr">
        <is>
          <t>Philippine passport valid ≥ 18 Feb 2027</t>
        </is>
      </c>
      <c r="C4" s="29" t="inlineStr">
        <is>
          <t>☐</t>
        </is>
      </c>
    </row>
    <row r="5" ht="22" customHeight="1">
      <c r="A5" s="30" t="inlineStr">
        <is>
          <t>Documents</t>
        </is>
      </c>
      <c r="B5" s="31" t="inlineStr">
        <is>
          <t>Scoot return ticket printed + on phone</t>
        </is>
      </c>
      <c r="C5" s="32" t="inlineStr">
        <is>
          <t>☐</t>
        </is>
      </c>
    </row>
    <row r="6" ht="22" customHeight="1">
      <c r="A6" s="27" t="inlineStr">
        <is>
          <t>Documents</t>
        </is>
      </c>
      <c r="B6" s="28" t="inlineStr">
        <is>
          <t>Hotel booking confirmation printed + on phone</t>
        </is>
      </c>
      <c r="C6" s="29" t="inlineStr">
        <is>
          <t>☐</t>
        </is>
      </c>
    </row>
    <row r="7" ht="22" customHeight="1">
      <c r="A7" s="30" t="inlineStr">
        <is>
          <t>Documents</t>
        </is>
      </c>
      <c r="B7" s="31" t="inlineStr">
        <is>
          <t>Travel insurance policy + emergency hotline saved</t>
        </is>
      </c>
      <c r="C7" s="32" t="inlineStr">
        <is>
          <t>☐</t>
        </is>
      </c>
    </row>
    <row r="8" ht="22" customHeight="1">
      <c r="A8" s="27" t="inlineStr">
        <is>
          <t>Documents</t>
        </is>
      </c>
      <c r="B8" s="28" t="inlineStr">
        <is>
          <t>SG re-entry permit / Long-Term Pass valid (if SG-resident)</t>
        </is>
      </c>
      <c r="C8" s="29" t="inlineStr">
        <is>
          <t>☐</t>
        </is>
      </c>
    </row>
    <row r="9" ht="22" customHeight="1">
      <c r="A9" s="30" t="inlineStr">
        <is>
          <t>Documents</t>
        </is>
      </c>
      <c r="B9" s="31" t="inlineStr">
        <is>
          <t>Photo of passport stored in cloud + phone</t>
        </is>
      </c>
      <c r="C9" s="32" t="inlineStr">
        <is>
          <t>☐</t>
        </is>
      </c>
    </row>
    <row r="10" ht="22" customHeight="1">
      <c r="A10" s="27" t="inlineStr">
        <is>
          <t>Money</t>
        </is>
      </c>
      <c r="B10" s="28" t="inlineStr">
        <is>
          <t>VND cash 2–3M obtained</t>
        </is>
      </c>
      <c r="C10" s="29" t="inlineStr">
        <is>
          <t>☐</t>
        </is>
      </c>
    </row>
    <row r="11" ht="22" customHeight="1">
      <c r="A11" s="30" t="inlineStr">
        <is>
          <t>Money</t>
        </is>
      </c>
      <c r="B11" s="31" t="inlineStr">
        <is>
          <t>Multi-currency card (YouTrip / Wise / Revolut) topped up</t>
        </is>
      </c>
      <c r="C11" s="32" t="inlineStr">
        <is>
          <t>☐</t>
        </is>
      </c>
    </row>
    <row r="12" ht="22" customHeight="1">
      <c r="A12" s="27" t="inlineStr">
        <is>
          <t>Money</t>
        </is>
      </c>
      <c r="B12" s="28" t="inlineStr">
        <is>
          <t>Notify bank of travel dates</t>
        </is>
      </c>
      <c r="C12" s="29" t="inlineStr">
        <is>
          <t>☐</t>
        </is>
      </c>
    </row>
    <row r="13" ht="22" customHeight="1">
      <c r="A13" s="30" t="inlineStr">
        <is>
          <t>Tech</t>
        </is>
      </c>
      <c r="B13" s="31" t="inlineStr">
        <is>
          <t>eSIM/SIM plan decided</t>
        </is>
      </c>
      <c r="C13" s="32" t="inlineStr">
        <is>
          <t>☐</t>
        </is>
      </c>
    </row>
    <row r="14" ht="22" customHeight="1">
      <c r="A14" s="27" t="inlineStr">
        <is>
          <t>Tech</t>
        </is>
      </c>
      <c r="B14" s="28" t="inlineStr">
        <is>
          <t>Universal travel adapter packed</t>
        </is>
      </c>
      <c r="C14" s="29" t="inlineStr">
        <is>
          <t>☐</t>
        </is>
      </c>
    </row>
    <row r="15" ht="22" customHeight="1">
      <c r="A15" s="30" t="inlineStr">
        <is>
          <t>Tech</t>
        </is>
      </c>
      <c r="B15" s="31" t="inlineStr">
        <is>
          <t>Power bank ≤100Wh (carry-on only)</t>
        </is>
      </c>
      <c r="C15" s="32" t="inlineStr">
        <is>
          <t>☐</t>
        </is>
      </c>
    </row>
    <row r="16" ht="22" customHeight="1">
      <c r="A16" s="27" t="inlineStr">
        <is>
          <t>Tech</t>
        </is>
      </c>
      <c r="B16" s="28" t="inlineStr">
        <is>
          <t>Apps installed: Grab, Klook, Pelago, Translate, Maps offline, Scoot</t>
        </is>
      </c>
      <c r="C16" s="29" t="inlineStr">
        <is>
          <t>☐</t>
        </is>
      </c>
    </row>
    <row r="17" ht="22" customHeight="1">
      <c r="A17" s="30" t="inlineStr">
        <is>
          <t>Tech</t>
        </is>
      </c>
      <c r="B17" s="31" t="inlineStr">
        <is>
          <t>Scoot mobile boarding pass downloaded</t>
        </is>
      </c>
      <c r="C17" s="32" t="inlineStr">
        <is>
          <t>☐</t>
        </is>
      </c>
    </row>
    <row r="18" ht="22" customHeight="1">
      <c r="A18" s="27" t="inlineStr">
        <is>
          <t>Bookings</t>
        </is>
      </c>
      <c r="B18" s="28" t="inlineStr">
        <is>
          <t>Hotel — Free Cancellation rate</t>
        </is>
      </c>
      <c r="C18" s="29" t="inlineStr">
        <is>
          <t>☐</t>
        </is>
      </c>
    </row>
    <row r="19" ht="22" customHeight="1">
      <c r="A19" s="30" t="inlineStr">
        <is>
          <t>Bookings</t>
        </is>
      </c>
      <c r="B19" s="31" t="inlineStr">
        <is>
          <t>Ba Na Hills Klook combo (v1) OR Hai Van driver (v2) pre-booked</t>
        </is>
      </c>
      <c r="C19" s="32" t="inlineStr">
        <is>
          <t>☐</t>
        </is>
      </c>
    </row>
    <row r="20" ht="22" customHeight="1">
      <c r="A20" s="27" t="inlineStr">
        <is>
          <t>Bookings</t>
        </is>
      </c>
      <c r="B20" s="28" t="inlineStr">
        <is>
          <t>Herbal Spa Day 1 (v1) / Babylon Day 4 (v2) WhatsApp reserved</t>
        </is>
      </c>
      <c r="C20" s="29" t="inlineStr">
        <is>
          <t>☐</t>
        </is>
      </c>
    </row>
    <row r="21" ht="22" customHeight="1">
      <c r="A21" s="30" t="inlineStr">
        <is>
          <t>Bookings</t>
        </is>
      </c>
      <c r="B21" s="31" t="inlineStr">
        <is>
          <t>Pub crawl Sat 15 Aug (if doing) DaNangLeisure.com</t>
        </is>
      </c>
      <c r="C21" s="32" t="inlineStr">
        <is>
          <t>☐</t>
        </is>
      </c>
    </row>
    <row r="22" ht="22" customHeight="1">
      <c r="A22" s="27" t="inlineStr">
        <is>
          <t>Bookings</t>
        </is>
      </c>
      <c r="B22" s="28" t="inlineStr">
        <is>
          <t>Airport-hotel transfer (or Grab plan)</t>
        </is>
      </c>
      <c r="C22" s="29" t="inlineStr">
        <is>
          <t>☐</t>
        </is>
      </c>
    </row>
    <row r="23" ht="22" customHeight="1">
      <c r="A23" s="30" t="inlineStr">
        <is>
          <t>Pack</t>
        </is>
      </c>
      <c r="B23" s="31" t="inlineStr">
        <is>
          <t>Light cotton, swimwear, scarf for temples</t>
        </is>
      </c>
      <c r="C23" s="32" t="inlineStr">
        <is>
          <t>☐</t>
        </is>
      </c>
    </row>
    <row r="24" ht="22" customHeight="1">
      <c r="A24" s="27" t="inlineStr">
        <is>
          <t>Pack</t>
        </is>
      </c>
      <c r="B24" s="28" t="inlineStr">
        <is>
          <t>Quick-dry sandals + closed walking shoes</t>
        </is>
      </c>
      <c r="C24" s="29" t="inlineStr">
        <is>
          <t>☐</t>
        </is>
      </c>
    </row>
    <row r="25" ht="22" customHeight="1">
      <c r="A25" s="30" t="inlineStr">
        <is>
          <t>Pack</t>
        </is>
      </c>
      <c r="B25" s="31" t="inlineStr">
        <is>
          <t>Packable rain shell + small umbrella</t>
        </is>
      </c>
      <c r="C25" s="32" t="inlineStr">
        <is>
          <t>☐</t>
        </is>
      </c>
    </row>
    <row r="26" ht="22" customHeight="1">
      <c r="A26" s="27" t="inlineStr">
        <is>
          <t>Pack</t>
        </is>
      </c>
      <c r="B26" s="28" t="inlineStr">
        <is>
          <t>Reef-safe SPF 50+, sunglasses, hat</t>
        </is>
      </c>
      <c r="C26" s="29" t="inlineStr">
        <is>
          <t>☐</t>
        </is>
      </c>
    </row>
    <row r="27" ht="22" customHeight="1">
      <c r="A27" s="30" t="inlineStr">
        <is>
          <t>Pack</t>
        </is>
      </c>
      <c r="B27" s="31" t="inlineStr">
        <is>
          <t>Mosquito repellent DEET 25%+</t>
        </is>
      </c>
      <c r="C27" s="32" t="inlineStr">
        <is>
          <t>☐</t>
        </is>
      </c>
    </row>
    <row r="28" ht="22" customHeight="1">
      <c r="A28" s="27" t="inlineStr">
        <is>
          <t>Pack</t>
        </is>
      </c>
      <c r="B28" s="28" t="inlineStr">
        <is>
          <t>Personal meds + first-aid kit</t>
        </is>
      </c>
      <c r="C28" s="29" t="inlineStr">
        <is>
          <t>☐</t>
        </is>
      </c>
    </row>
    <row r="29" ht="22" customHeight="1">
      <c r="A29" s="30" t="inlineStr">
        <is>
          <t>Pack</t>
        </is>
      </c>
      <c r="B29" s="31" t="inlineStr">
        <is>
          <t>Reusable water bottle</t>
        </is>
      </c>
      <c r="C29" s="32" t="inlineStr">
        <is>
          <t>☐</t>
        </is>
      </c>
    </row>
    <row r="30" ht="22" customHeight="1">
      <c r="A30" s="27" t="inlineStr">
        <is>
          <t>Pre-flight</t>
        </is>
      </c>
      <c r="B30" s="28" t="inlineStr">
        <is>
          <t>Web check-in 72hr before each Scoot leg</t>
        </is>
      </c>
      <c r="C30" s="29" t="inlineStr">
        <is>
          <t>☐</t>
        </is>
      </c>
    </row>
    <row r="31" ht="22" customHeight="1">
      <c r="A31" s="30" t="inlineStr">
        <is>
          <t>Pre-flight</t>
        </is>
      </c>
      <c r="B31" s="31" t="inlineStr">
        <is>
          <t>Confirm Scoot baggage allowance</t>
        </is>
      </c>
      <c r="C31" s="32" t="inlineStr">
        <is>
          <t>☐</t>
        </is>
      </c>
    </row>
    <row r="32" ht="22" customHeight="1">
      <c r="A32" s="27" t="inlineStr">
        <is>
          <t>Pre-flight</t>
        </is>
      </c>
      <c r="B32" s="28" t="inlineStr">
        <is>
          <t>Weather check 48hr — typhoon outlook</t>
        </is>
      </c>
      <c r="C32" s="29" t="inlineStr">
        <is>
          <t>☐</t>
        </is>
      </c>
    </row>
    <row r="33" ht="22" customHeight="1">
      <c r="A33" s="30" t="inlineStr">
        <is>
          <t>Pre-flight</t>
        </is>
      </c>
      <c r="B33" s="31" t="inlineStr">
        <is>
          <t>Screenshot all vouchers offline</t>
        </is>
      </c>
      <c r="C33" s="32" t="inlineStr">
        <is>
          <t>☐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4" customHeight="1">
      <c r="A1" s="1" t="inlineStr">
        <is>
          <t>💰 Budget Estimate per Person</t>
        </is>
      </c>
    </row>
    <row r="3">
      <c r="A3" s="33" t="inlineStr">
        <is>
          <t>Exchange rate (VND per 1 SGD)</t>
        </is>
      </c>
      <c r="B3" s="34" t="n">
        <v>18500</v>
      </c>
      <c r="C3" s="35" t="inlineStr">
        <is>
          <t>← edit to update all SGD figures</t>
        </is>
      </c>
    </row>
    <row r="5">
      <c r="A5" s="6" t="inlineStr">
        <is>
          <t>Category</t>
        </is>
      </c>
      <c r="B5" s="6" t="inlineStr">
        <is>
          <t>VND (low)</t>
        </is>
      </c>
      <c r="C5" s="6" t="inlineStr">
        <is>
          <t>VND (high)</t>
        </is>
      </c>
      <c r="D5" s="6" t="inlineStr">
        <is>
          <t>SGD (low)</t>
        </is>
      </c>
      <c r="E5" s="6" t="inlineStr">
        <is>
          <t>SGD (high)</t>
        </is>
      </c>
    </row>
    <row r="6">
      <c r="A6" s="28" t="inlineStr">
        <is>
          <t>Food (5 days)</t>
        </is>
      </c>
      <c r="B6" s="36" t="n">
        <v>2500000</v>
      </c>
      <c r="C6" s="36" t="n">
        <v>4000000</v>
      </c>
      <c r="D6" s="37">
        <f>B6/$B$3</f>
        <v/>
      </c>
      <c r="E6" s="37">
        <f>C6/$B$3</f>
        <v/>
      </c>
    </row>
    <row r="7">
      <c r="A7" s="31" t="inlineStr">
        <is>
          <t>Transport — Grab + tours</t>
        </is>
      </c>
      <c r="B7" s="38" t="n">
        <v>1500000</v>
      </c>
      <c r="C7" s="38" t="n">
        <v>2200000</v>
      </c>
      <c r="D7" s="39">
        <f>B7/$B$3</f>
        <v/>
      </c>
      <c r="E7" s="39">
        <f>C7/$B$3</f>
        <v/>
      </c>
    </row>
    <row r="8">
      <c r="A8" s="28" t="inlineStr">
        <is>
          <t>Activities (Ba Na/Hai Van, Hoi An, Marble, Son Tra)</t>
        </is>
      </c>
      <c r="B8" s="36" t="n">
        <v>1100000</v>
      </c>
      <c r="C8" s="36" t="n">
        <v>1400000</v>
      </c>
      <c r="D8" s="37">
        <f>B8/$B$3</f>
        <v/>
      </c>
      <c r="E8" s="37">
        <f>C8/$B$3</f>
        <v/>
      </c>
    </row>
    <row r="9">
      <c r="A9" s="31" t="inlineStr">
        <is>
          <t>Spas</t>
        </is>
      </c>
      <c r="B9" s="38" t="n">
        <v>1300000</v>
      </c>
      <c r="C9" s="38" t="n">
        <v>2000000</v>
      </c>
      <c r="D9" s="39">
        <f>B9/$B$3</f>
        <v/>
      </c>
      <c r="E9" s="39">
        <f>C9/$B$3</f>
        <v/>
      </c>
    </row>
    <row r="10">
      <c r="A10" s="28" t="inlineStr">
        <is>
          <t>Pub Crawl</t>
        </is>
      </c>
      <c r="B10" s="36" t="n">
        <v>0</v>
      </c>
      <c r="C10" s="36" t="n">
        <v>300000</v>
      </c>
      <c r="D10" s="37">
        <f>B10/$B$3</f>
        <v/>
      </c>
      <c r="E10" s="37">
        <f>C10/$B$3</f>
        <v/>
      </c>
    </row>
    <row r="11">
      <c r="A11" s="31" t="inlineStr">
        <is>
          <t>SIM / eSIM</t>
        </is>
      </c>
      <c r="B11" s="38" t="n">
        <v>250000</v>
      </c>
      <c r="C11" s="38" t="n">
        <v>300000</v>
      </c>
      <c r="D11" s="39">
        <f>B11/$B$3</f>
        <v/>
      </c>
      <c r="E11" s="39">
        <f>C11/$B$3</f>
        <v/>
      </c>
    </row>
    <row r="12">
      <c r="A12" s="28" t="inlineStr">
        <is>
          <t>Souvenirs / buffer</t>
        </is>
      </c>
      <c r="B12" s="36" t="n">
        <v>800000</v>
      </c>
      <c r="C12" s="36" t="n">
        <v>1200000</v>
      </c>
      <c r="D12" s="37">
        <f>B12/$B$3</f>
        <v/>
      </c>
      <c r="E12" s="37">
        <f>C12/$B$3</f>
        <v/>
      </c>
    </row>
    <row r="13">
      <c r="A13" s="40" t="inlineStr">
        <is>
          <t>Ground costs subtotal</t>
        </is>
      </c>
      <c r="B13" s="41">
        <f>SUM(B6:B12)</f>
        <v/>
      </c>
      <c r="C13" s="41">
        <f>SUM(C6:C12)</f>
        <v/>
      </c>
      <c r="D13" s="42">
        <f>B13/$B$3</f>
        <v/>
      </c>
      <c r="E13" s="42">
        <f>C13/$B$3</f>
        <v/>
      </c>
    </row>
    <row r="15">
      <c r="A15" s="26" t="inlineStr">
        <is>
          <t>Flight &amp; hotel (direct SGD)</t>
        </is>
      </c>
    </row>
    <row r="16">
      <c r="A16" s="6" t="inlineStr">
        <is>
          <t>Category</t>
        </is>
      </c>
      <c r="D16" s="6" t="inlineStr">
        <is>
          <t>SGD (low)</t>
        </is>
      </c>
      <c r="E16" s="6" t="inlineStr">
        <is>
          <t>SGD (high)</t>
        </is>
      </c>
    </row>
    <row r="17">
      <c r="A17" s="31" t="inlineStr">
        <is>
          <t>Scoot SIN-DAD return</t>
        </is>
      </c>
      <c r="D17" s="43" t="n">
        <v>220</v>
      </c>
      <c r="E17" s="43" t="n">
        <v>380</v>
      </c>
    </row>
    <row r="18">
      <c r="A18" s="31" t="inlineStr">
        <is>
          <t>Hotel (4 nights mid-tier)</t>
        </is>
      </c>
      <c r="D18" s="43" t="n">
        <v>320</v>
      </c>
      <c r="E18" s="43" t="n">
        <v>480</v>
      </c>
    </row>
    <row r="19" ht="24" customHeight="1">
      <c r="A19" s="44" t="inlineStr">
        <is>
          <t>GRAND TOTAL (per person)</t>
        </is>
      </c>
      <c r="B19" s="45" t="n"/>
      <c r="C19" s="45" t="n"/>
      <c r="D19" s="46">
        <f>D13+SUM(D17:D18)</f>
        <v/>
      </c>
      <c r="E19" s="46">
        <f>E13+SUM(E17:E18)</f>
        <v/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6" customWidth="1" min="2" max="2"/>
    <col width="22" customWidth="1" min="3" max="3"/>
    <col width="9" customWidth="1" min="4" max="4"/>
    <col width="10" customWidth="1" min="5" max="5"/>
    <col width="13" customWidth="1" min="6" max="6"/>
    <col width="12" customWidth="1" min="7" max="7"/>
    <col width="38" customWidth="1" min="8" max="8"/>
    <col width="5" customWidth="1" min="9" max="9"/>
  </cols>
  <sheetData>
    <row r="1" ht="24" customHeight="1">
      <c r="A1" s="47" t="inlineStr">
        <is>
          <t>🛋️ Relaxed Pace v2 — Less-Touristy w/ Distance + Travel Time</t>
        </is>
      </c>
    </row>
    <row r="2" ht="56" customHeight="1">
      <c r="A2" s="48" t="inlineStr">
        <is>
          <t>Key v2 changes: Day-1 spa removed (pool decompress), Ba Na → Hai Van Pass + Lăng Cô, Marble + Hoi An split across two days, single 150-min spa, sunrise Son Tra (empty), crawl OPTIONAL. Distance/time columns include both transit and on-site walking.</t>
        </is>
      </c>
    </row>
    <row r="4" ht="22" customHeight="1">
      <c r="A4" s="49" t="inlineStr">
        <is>
          <t>Day 1 — Fri 14 Aug: Soft Arrival &amp; Coastal Calm</t>
        </is>
      </c>
    </row>
    <row r="5">
      <c r="A5" s="6" t="inlineStr">
        <is>
          <t>Time</t>
        </is>
      </c>
      <c r="B5" s="6" t="inlineStr">
        <is>
          <t>Activity</t>
        </is>
      </c>
      <c r="C5" s="6" t="inlineStr">
        <is>
          <t>From → To</t>
        </is>
      </c>
      <c r="D5" s="6" t="inlineStr">
        <is>
          <t>Dist (km)</t>
        </is>
      </c>
      <c r="E5" s="6" t="inlineStr">
        <is>
          <t>Travel (min)</t>
        </is>
      </c>
      <c r="F5" s="6" t="inlineStr">
        <is>
          <t>Cost (VND)</t>
        </is>
      </c>
      <c r="G5" s="6" t="inlineStr">
        <is>
          <t>Cost (SGD)</t>
        </is>
      </c>
      <c r="H5" s="6" t="inlineStr">
        <is>
          <t>Notes</t>
        </is>
      </c>
      <c r="I5" s="6" t="inlineStr">
        <is>
          <t>✓</t>
        </is>
      </c>
    </row>
    <row r="6" ht="26" customHeight="1">
      <c r="A6" s="7" t="inlineStr">
        <is>
          <t>09:55</t>
        </is>
      </c>
      <c r="B6" s="7" t="inlineStr">
        <is>
          <t>Land DAD; immigration, baggage</t>
        </is>
      </c>
      <c r="C6" s="7" t="inlineStr">
        <is>
          <t>DAD arrival</t>
        </is>
      </c>
      <c r="D6" s="9" t="n"/>
      <c r="E6" s="10" t="n"/>
      <c r="F6" s="11" t="n"/>
      <c r="G6" s="12" t="n"/>
      <c r="H6" s="7" t="inlineStr">
        <is>
          <t>PH 21-day exempt</t>
        </is>
      </c>
      <c r="I6" s="13" t="inlineStr">
        <is>
          <t>☐</t>
        </is>
      </c>
    </row>
    <row r="7" ht="26" customHeight="1">
      <c r="A7" s="3" t="inlineStr">
        <is>
          <t>10:30</t>
        </is>
      </c>
      <c r="B7" s="3" t="inlineStr">
        <is>
          <t>SIM/eSIM at terminal</t>
        </is>
      </c>
      <c r="C7" s="3" t="inlineStr">
        <is>
          <t>DAD terminal</t>
        </is>
      </c>
      <c r="D7" s="14" t="n"/>
      <c r="E7" s="15" t="n"/>
      <c r="F7" s="16" t="n">
        <v>250000</v>
      </c>
      <c r="G7" s="17" t="n">
        <v>14</v>
      </c>
      <c r="H7" s="3" t="inlineStr">
        <is>
          <t>Viettel official counter</t>
        </is>
      </c>
      <c r="I7" s="18" t="inlineStr">
        <is>
          <t>☐</t>
        </is>
      </c>
    </row>
    <row r="8" ht="26" customHeight="1">
      <c r="A8" s="7" t="inlineStr">
        <is>
          <t>10:45</t>
        </is>
      </c>
      <c r="B8" s="7" t="inlineStr">
        <is>
          <t>Grab to hotel — request early check-in</t>
        </is>
      </c>
      <c r="C8" s="7" t="inlineStr">
        <is>
          <t>DAD → My Khe Beach hotel</t>
        </is>
      </c>
      <c r="D8" s="9" t="n">
        <v>6</v>
      </c>
      <c r="E8" s="10" t="n">
        <v>18</v>
      </c>
      <c r="F8" s="11" t="n">
        <v>150000</v>
      </c>
      <c r="G8" s="12" t="n">
        <v>9</v>
      </c>
      <c r="H8" s="7" t="inlineStr"/>
      <c r="I8" s="13" t="inlineStr">
        <is>
          <t>☐</t>
        </is>
      </c>
    </row>
    <row r="9" ht="26" customHeight="1">
      <c r="A9" s="3" t="inlineStr">
        <is>
          <t>12:00</t>
        </is>
      </c>
      <c r="B9" s="3" t="inlineStr">
        <is>
          <t>Light lunch (hotel or Bếp Cuốn)</t>
        </is>
      </c>
      <c r="C9" s="3" t="inlineStr">
        <is>
          <t>walk</t>
        </is>
      </c>
      <c r="D9" s="14" t="n">
        <v>0.5</v>
      </c>
      <c r="E9" s="15" t="n">
        <v>8</v>
      </c>
      <c r="F9" s="16" t="n">
        <v>200000</v>
      </c>
      <c r="G9" s="17" t="n">
        <v>11</v>
      </c>
      <c r="H9" s="3" t="inlineStr">
        <is>
          <t>Avoid heavy meal — humid</t>
        </is>
      </c>
      <c r="I9" s="18" t="inlineStr">
        <is>
          <t>☐</t>
        </is>
      </c>
    </row>
    <row r="10" ht="26" customHeight="1">
      <c r="A10" s="7" t="inlineStr">
        <is>
          <t>13:00</t>
        </is>
      </c>
      <c r="B10" s="7" t="inlineStr">
        <is>
          <t>🏊 POOL/BEACH DECOMPRESS — 3hr</t>
        </is>
      </c>
      <c r="C10" s="7" t="inlineStr">
        <is>
          <t>at Hotel</t>
        </is>
      </c>
      <c r="D10" s="9" t="n"/>
      <c r="E10" s="10" t="n"/>
      <c r="F10" s="11" t="n"/>
      <c r="G10" s="12" t="n"/>
      <c r="H10" s="7" t="inlineStr">
        <is>
          <t>Acclimate to climate</t>
        </is>
      </c>
      <c r="I10" s="13" t="inlineStr">
        <is>
          <t>☐</t>
        </is>
      </c>
    </row>
    <row r="11" ht="26" customHeight="1">
      <c r="A11" s="3" t="inlineStr">
        <is>
          <t>16:30</t>
        </is>
      </c>
      <c r="B11" s="3" t="inlineStr">
        <is>
          <t>☕ 43 Factory Coffee Roaster</t>
        </is>
      </c>
      <c r="C11" s="3" t="inlineStr">
        <is>
          <t>Hotel → An Thuong</t>
        </is>
      </c>
      <c r="D11" s="14" t="n">
        <v>1</v>
      </c>
      <c r="E11" s="15" t="n">
        <v>6</v>
      </c>
      <c r="F11" s="16" t="n">
        <v>90000</v>
      </c>
      <c r="G11" s="17" t="n">
        <v>5</v>
      </c>
      <c r="H11" s="3" t="inlineStr">
        <is>
          <t>★ Specialty roaster, calm</t>
        </is>
      </c>
      <c r="I11" s="18" t="inlineStr">
        <is>
          <t>☐</t>
        </is>
      </c>
    </row>
    <row r="12" ht="26" customHeight="1">
      <c r="A12" s="7" t="inlineStr">
        <is>
          <t>18:00</t>
        </is>
      </c>
      <c r="B12" s="7" t="inlineStr">
        <is>
          <t>Walk back, shower</t>
        </is>
      </c>
      <c r="C12" s="7" t="inlineStr">
        <is>
          <t>café → Hotel</t>
        </is>
      </c>
      <c r="D12" s="9" t="n">
        <v>1</v>
      </c>
      <c r="E12" s="10" t="n">
        <v>12</v>
      </c>
      <c r="F12" s="11" t="n"/>
      <c r="G12" s="12" t="n"/>
      <c r="H12" s="7" t="inlineStr"/>
      <c r="I12" s="13" t="inlineStr">
        <is>
          <t>☐</t>
        </is>
      </c>
    </row>
    <row r="13" ht="26" customHeight="1">
      <c r="A13" s="3" t="inlineStr">
        <is>
          <t>19:00</t>
        </is>
      </c>
      <c r="B13" s="3" t="inlineStr">
        <is>
          <t>Riverside dinner near Dragon Bridge</t>
        </is>
      </c>
      <c r="C13" s="3" t="inlineStr">
        <is>
          <t>My Khe → Han River</t>
        </is>
      </c>
      <c r="D13" s="14" t="n">
        <v>3.2</v>
      </c>
      <c r="E13" s="15" t="n">
        <v>12</v>
      </c>
      <c r="F13" s="16" t="n">
        <v>400000</v>
      </c>
      <c r="G13" s="17" t="n">
        <v>22</v>
      </c>
      <c r="H13" s="3" t="inlineStr">
        <is>
          <t>Bridge-view tables</t>
        </is>
      </c>
      <c r="I13" s="18" t="inlineStr">
        <is>
          <t>☐</t>
        </is>
      </c>
    </row>
    <row r="14" ht="26" customHeight="1">
      <c r="A14" s="7" t="inlineStr">
        <is>
          <t>20:45</t>
        </is>
      </c>
      <c r="B14" s="7" t="inlineStr">
        <is>
          <t>Position east side of Bridge</t>
        </is>
      </c>
      <c r="C14" s="7" t="inlineStr">
        <is>
          <t>walk</t>
        </is>
      </c>
      <c r="D14" s="9" t="n">
        <v>0.4</v>
      </c>
      <c r="E14" s="10" t="n">
        <v>6</v>
      </c>
      <c r="F14" s="11" t="n"/>
      <c r="G14" s="12" t="n"/>
      <c r="H14" s="7" t="inlineStr"/>
      <c r="I14" s="13" t="inlineStr">
        <is>
          <t>☐</t>
        </is>
      </c>
    </row>
    <row r="15" ht="26" customHeight="1">
      <c r="A15" s="3" t="inlineStr">
        <is>
          <t>21:00</t>
        </is>
      </c>
      <c r="B15" s="3" t="inlineStr">
        <is>
          <t>🐉 Fire &amp; water show</t>
        </is>
      </c>
      <c r="C15" s="3" t="inlineStr">
        <is>
          <t>on Bridge</t>
        </is>
      </c>
      <c r="D15" s="14" t="n"/>
      <c r="E15" s="15" t="n"/>
      <c r="F15" s="16" t="n"/>
      <c r="G15" s="17" t="n"/>
      <c r="H15" s="3" t="inlineStr">
        <is>
          <t>~15 min</t>
        </is>
      </c>
      <c r="I15" s="18" t="inlineStr">
        <is>
          <t>☐</t>
        </is>
      </c>
    </row>
    <row r="16" ht="26" customHeight="1">
      <c r="A16" s="7" t="inlineStr">
        <is>
          <t>21:30</t>
        </is>
      </c>
      <c r="B16" s="7" t="inlineStr">
        <is>
          <t>Grab back — early night</t>
        </is>
      </c>
      <c r="C16" s="7" t="inlineStr">
        <is>
          <t>Bridge → Hotel</t>
        </is>
      </c>
      <c r="D16" s="9" t="n">
        <v>3.2</v>
      </c>
      <c r="E16" s="10" t="n">
        <v>12</v>
      </c>
      <c r="F16" s="11" t="n">
        <v>80000</v>
      </c>
      <c r="G16" s="12" t="n">
        <v>4</v>
      </c>
      <c r="H16" s="7" t="inlineStr"/>
      <c r="I16" s="13" t="inlineStr">
        <is>
          <t>☐</t>
        </is>
      </c>
    </row>
    <row r="17">
      <c r="A17" s="19" t="inlineStr">
        <is>
          <t>Day total</t>
        </is>
      </c>
      <c r="B17" s="19" t="n"/>
      <c r="C17" s="19" t="n"/>
      <c r="D17" s="20">
        <f>SUM(D6:D16)</f>
        <v/>
      </c>
      <c r="E17" s="21">
        <f>SUM(E6:E16)</f>
        <v/>
      </c>
      <c r="F17" s="22">
        <f>SUM(F6:F16)</f>
        <v/>
      </c>
      <c r="G17" s="23">
        <f>SUM(G6:G16)</f>
        <v/>
      </c>
      <c r="H17" s="19" t="n"/>
      <c r="I17" s="24" t="n"/>
    </row>
    <row r="19" ht="22" customHeight="1">
      <c r="A19" s="49" t="inlineStr">
        <is>
          <t>Day 2 — Sat 15 Aug: Hai Van Pass + Lăng Cô (Off-Tourist)</t>
        </is>
      </c>
    </row>
    <row r="20">
      <c r="A20" s="6" t="inlineStr">
        <is>
          <t>Time</t>
        </is>
      </c>
      <c r="B20" s="6" t="inlineStr">
        <is>
          <t>Activity</t>
        </is>
      </c>
      <c r="C20" s="6" t="inlineStr">
        <is>
          <t>From → To</t>
        </is>
      </c>
      <c r="D20" s="6" t="inlineStr">
        <is>
          <t>Dist (km)</t>
        </is>
      </c>
      <c r="E20" s="6" t="inlineStr">
        <is>
          <t>Travel (min)</t>
        </is>
      </c>
      <c r="F20" s="6" t="inlineStr">
        <is>
          <t>Cost (VND)</t>
        </is>
      </c>
      <c r="G20" s="6" t="inlineStr">
        <is>
          <t>Cost (SGD)</t>
        </is>
      </c>
      <c r="H20" s="6" t="inlineStr">
        <is>
          <t>Notes</t>
        </is>
      </c>
      <c r="I20" s="6" t="inlineStr">
        <is>
          <t>✓</t>
        </is>
      </c>
    </row>
    <row r="21" ht="26" customHeight="1">
      <c r="A21" s="7" t="inlineStr">
        <is>
          <t>08:00</t>
        </is>
      </c>
      <c r="B21" s="7" t="inlineStr">
        <is>
          <t>Slow breakfast</t>
        </is>
      </c>
      <c r="C21" s="7" t="inlineStr">
        <is>
          <t>at Hotel</t>
        </is>
      </c>
      <c r="D21" s="9" t="n"/>
      <c r="E21" s="10" t="n"/>
      <c r="F21" s="11" t="n"/>
      <c r="G21" s="12" t="n"/>
      <c r="H21" s="7" t="inlineStr"/>
      <c r="I21" s="13" t="inlineStr">
        <is>
          <t>☐</t>
        </is>
      </c>
    </row>
    <row r="22" ht="26" customHeight="1">
      <c r="A22" s="3" t="inlineStr">
        <is>
          <t>09:30</t>
        </is>
      </c>
      <c r="B22" s="3" t="inlineStr">
        <is>
          <t>Transport ALL-IN — pick ONE path (see Sheet 13)</t>
        </is>
      </c>
      <c r="C22" s="3" t="inlineStr">
        <is>
          <t>My Khe → northbound → return</t>
        </is>
      </c>
      <c r="D22" s="14" t="n"/>
      <c r="E22" s="15" t="n"/>
      <c r="F22" s="16" t="n">
        <v>800000</v>
      </c>
      <c r="G22" s="17" t="n">
        <v>43</v>
      </c>
      <c r="H22" s="3" t="inlineStr">
        <is>
          <t>Cell shows per-pax SHARED group tour ~700k–900k (Klook Hai Van + Lăng Cô day tour incl English guide + van). PRIVATE car concierge ~1.4M/car split 2 pax = 700k pp. EASY RIDERS motorbike ~1.1M pp. Mid-point used.</t>
        </is>
      </c>
      <c r="I22" s="18" t="inlineStr">
        <is>
          <t>☐</t>
        </is>
      </c>
    </row>
    <row r="23" ht="26" customHeight="1">
      <c r="A23" s="7" t="inlineStr">
        <is>
          <t>10:30</t>
        </is>
      </c>
      <c r="B23" s="7" t="inlineStr">
        <is>
          <t>Hai Van Pass top — French bunker</t>
        </is>
      </c>
      <c r="C23" s="7" t="inlineStr">
        <is>
          <t>My Khe → Hai Van top</t>
        </is>
      </c>
      <c r="D23" s="9" t="n">
        <v>30</v>
      </c>
      <c r="E23" s="10" t="n">
        <v>60</v>
      </c>
      <c r="F23" s="11" t="n"/>
      <c r="G23" s="12" t="n"/>
      <c r="H23" s="7" t="inlineStr">
        <is>
          <t>★ Top Gear-famous; driver/guide waits</t>
        </is>
      </c>
      <c r="I23" s="13" t="inlineStr">
        <is>
          <t>☐</t>
        </is>
      </c>
    </row>
    <row r="24" ht="26" customHeight="1">
      <c r="A24" s="3" t="inlineStr">
        <is>
          <t>11:00</t>
        </is>
      </c>
      <c r="B24" s="3" t="inlineStr">
        <is>
          <t>Photo stops, egg coffee at top</t>
        </is>
      </c>
      <c r="C24" s="3" t="inlineStr">
        <is>
          <t>Hai Van viewpoint walk</t>
        </is>
      </c>
      <c r="D24" s="14" t="n">
        <v>0.5</v>
      </c>
      <c r="E24" s="15" t="n">
        <v>30</v>
      </c>
      <c r="F24" s="16" t="n">
        <v>80000</v>
      </c>
      <c r="G24" s="17" t="n">
        <v>4</v>
      </c>
      <c r="H24" s="3" t="inlineStr">
        <is>
          <t>~40k egg coffee + 40k snack</t>
        </is>
      </c>
      <c r="I24" s="18" t="inlineStr">
        <is>
          <t>☐</t>
        </is>
      </c>
    </row>
    <row r="25" ht="26" customHeight="1">
      <c r="A25" s="7" t="inlineStr">
        <is>
          <t>11:45</t>
        </is>
      </c>
      <c r="B25" s="7" t="inlineStr">
        <is>
          <t>Drive down to Lăng Cô Bay</t>
        </is>
      </c>
      <c r="C25" s="7" t="inlineStr">
        <is>
          <t>Hai Van → Lăng Cô</t>
        </is>
      </c>
      <c r="D25" s="9" t="n">
        <v>12</v>
      </c>
      <c r="E25" s="10" t="n">
        <v>30</v>
      </c>
      <c r="F25" s="11" t="n"/>
      <c r="G25" s="12" t="n"/>
      <c r="H25" s="7" t="inlineStr">
        <is>
          <t>Winding north slope; driver continues</t>
        </is>
      </c>
      <c r="I25" s="13" t="inlineStr">
        <is>
          <t>☐</t>
        </is>
      </c>
    </row>
    <row r="26" ht="26" customHeight="1">
      <c r="A26" s="3" t="inlineStr">
        <is>
          <t>12:30</t>
        </is>
      </c>
      <c r="B26" s="3" t="inlineStr">
        <is>
          <t>Seafood lunch at fishing village</t>
        </is>
      </c>
      <c r="C26" s="3" t="inlineStr">
        <is>
          <t>Lăng Cô waterfront</t>
        </is>
      </c>
      <c r="D26" s="14" t="n"/>
      <c r="E26" s="15" t="n"/>
      <c r="F26" s="16" t="n">
        <v>400000</v>
      </c>
      <c r="G26" s="17" t="n">
        <v>22</v>
      </c>
      <c r="H26" s="3" t="inlineStr">
        <is>
          <t>★ Bé Mặn Lăng Cô per pax; whole grilled fish ~300k, prawns 250k/kg</t>
        </is>
      </c>
      <c r="I26" s="18" t="inlineStr">
        <is>
          <t>☐</t>
        </is>
      </c>
    </row>
    <row r="27" ht="26" customHeight="1">
      <c r="A27" s="7" t="inlineStr">
        <is>
          <t>14:00</t>
        </is>
      </c>
      <c r="B27" s="7" t="inlineStr">
        <is>
          <t>Lăng Cô Beach — swim/walk</t>
        </is>
      </c>
      <c r="C27" s="7" t="inlineStr">
        <is>
          <t>Lăng Cô beach</t>
        </is>
      </c>
      <c r="D27" s="9" t="n">
        <v>1.5</v>
      </c>
      <c r="E27" s="10" t="n">
        <v>90</v>
      </c>
      <c r="F27" s="11" t="n">
        <v>50000</v>
      </c>
      <c r="G27" s="12" t="n">
        <v>3</v>
      </c>
      <c r="H27" s="7" t="inlineStr">
        <is>
          <t>Optional sun lounger 50k; UNWTO bay</t>
        </is>
      </c>
      <c r="I27" s="13" t="inlineStr">
        <is>
          <t>☐</t>
        </is>
      </c>
    </row>
    <row r="28" ht="26" customHeight="1">
      <c r="A28" s="3" t="inlineStr">
        <is>
          <t>15:30</t>
        </is>
      </c>
      <c r="B28" s="3" t="inlineStr">
        <is>
          <t>Return drive via Hai Van Tunnel</t>
        </is>
      </c>
      <c r="C28" s="3" t="inlineStr">
        <is>
          <t>Lăng Cô → My Khe (tunnel)</t>
        </is>
      </c>
      <c r="D28" s="14" t="n">
        <v>35</v>
      </c>
      <c r="E28" s="15" t="n">
        <v>70</v>
      </c>
      <c r="F28" s="16" t="n"/>
      <c r="G28" s="17" t="n"/>
      <c r="H28" s="3" t="inlineStr">
        <is>
          <t>Toll 110k VND car (included in driver fare)</t>
        </is>
      </c>
      <c r="I28" s="18" t="inlineStr">
        <is>
          <t>☐</t>
        </is>
      </c>
    </row>
    <row r="29" ht="26" customHeight="1">
      <c r="A29" s="7" t="inlineStr">
        <is>
          <t>17:00</t>
        </is>
      </c>
      <c r="B29" s="7" t="inlineStr">
        <is>
          <t>Hotel — pool / rest</t>
        </is>
      </c>
      <c r="C29" s="7" t="inlineStr">
        <is>
          <t>at Hotel</t>
        </is>
      </c>
      <c r="D29" s="9" t="n"/>
      <c r="E29" s="10" t="n"/>
      <c r="F29" s="11" t="n"/>
      <c r="G29" s="12" t="n"/>
      <c r="H29" s="7" t="inlineStr"/>
      <c r="I29" s="13" t="inlineStr">
        <is>
          <t>☐</t>
        </is>
      </c>
    </row>
    <row r="30" ht="26" customHeight="1">
      <c r="A30" s="3" t="inlineStr">
        <is>
          <t>19:00</t>
        </is>
      </c>
      <c r="B30" s="3" t="inlineStr">
        <is>
          <t>Casual local dinner</t>
        </is>
      </c>
      <c r="C30" s="3" t="inlineStr">
        <is>
          <t>walk</t>
        </is>
      </c>
      <c r="D30" s="14" t="n">
        <v>0.5</v>
      </c>
      <c r="E30" s="15" t="n">
        <v>8</v>
      </c>
      <c r="F30" s="16" t="n">
        <v>200000</v>
      </c>
      <c r="G30" s="17" t="n">
        <v>11</v>
      </c>
      <c r="H30" s="3" t="inlineStr">
        <is>
          <t>Per pax — local quán</t>
        </is>
      </c>
      <c r="I30" s="18" t="inlineStr">
        <is>
          <t>☐</t>
        </is>
      </c>
    </row>
    <row r="31" ht="26" customHeight="1">
      <c r="A31" s="7" t="inlineStr">
        <is>
          <t>21:30</t>
        </is>
      </c>
      <c r="B31" s="7" t="inlineStr">
        <is>
          <t>OPTIONAL Pub Crawl</t>
        </is>
      </c>
      <c r="C31" s="7" t="inlineStr">
        <is>
          <t>Hotel → An Thuong meet</t>
        </is>
      </c>
      <c r="D31" s="9" t="n">
        <v>1.5</v>
      </c>
      <c r="E31" s="10" t="n">
        <v>8</v>
      </c>
      <c r="F31" s="11" t="n">
        <v>300000</v>
      </c>
      <c r="G31" s="12" t="n">
        <v>16</v>
      </c>
      <c r="H31" s="7" t="inlineStr">
        <is>
          <t>DaNangLeisure.com 300k pp; ⚠️ SKIP if tired</t>
        </is>
      </c>
      <c r="I31" s="13" t="inlineStr">
        <is>
          <t>☐</t>
        </is>
      </c>
    </row>
    <row r="32">
      <c r="A32" s="19" t="inlineStr">
        <is>
          <t>Day total</t>
        </is>
      </c>
      <c r="B32" s="19" t="n"/>
      <c r="C32" s="19" t="n"/>
      <c r="D32" s="20">
        <f>SUM(D21:D31)</f>
        <v/>
      </c>
      <c r="E32" s="21">
        <f>SUM(E21:E31)</f>
        <v/>
      </c>
      <c r="F32" s="22">
        <f>SUM(F21:F31)</f>
        <v/>
      </c>
      <c r="G32" s="23">
        <f>SUM(G21:G31)</f>
        <v/>
      </c>
      <c r="H32" s="19" t="n"/>
      <c r="I32" s="24" t="n"/>
    </row>
    <row r="34" ht="22" customHeight="1">
      <c r="A34" s="49" t="inlineStr">
        <is>
          <t>Day 3 — Sun 16 Aug: Hoi An Full Slow Day</t>
        </is>
      </c>
    </row>
    <row r="35">
      <c r="A35" s="6" t="inlineStr">
        <is>
          <t>Time</t>
        </is>
      </c>
      <c r="B35" s="6" t="inlineStr">
        <is>
          <t>Activity</t>
        </is>
      </c>
      <c r="C35" s="6" t="inlineStr">
        <is>
          <t>From → To</t>
        </is>
      </c>
      <c r="D35" s="6" t="inlineStr">
        <is>
          <t>Dist (km)</t>
        </is>
      </c>
      <c r="E35" s="6" t="inlineStr">
        <is>
          <t>Travel (min)</t>
        </is>
      </c>
      <c r="F35" s="6" t="inlineStr">
        <is>
          <t>Cost (VND)</t>
        </is>
      </c>
      <c r="G35" s="6" t="inlineStr">
        <is>
          <t>Cost (SGD)</t>
        </is>
      </c>
      <c r="H35" s="6" t="inlineStr">
        <is>
          <t>Notes</t>
        </is>
      </c>
      <c r="I35" s="6" t="inlineStr">
        <is>
          <t>✓</t>
        </is>
      </c>
    </row>
    <row r="36" ht="26" customHeight="1">
      <c r="A36" s="7" t="inlineStr">
        <is>
          <t>09:30</t>
        </is>
      </c>
      <c r="B36" s="7" t="inlineStr">
        <is>
          <t>Late breakfast</t>
        </is>
      </c>
      <c r="C36" s="7" t="inlineStr">
        <is>
          <t>at Hotel</t>
        </is>
      </c>
      <c r="D36" s="9" t="n"/>
      <c r="E36" s="10" t="n"/>
      <c r="F36" s="11" t="n"/>
      <c r="G36" s="12" t="n"/>
      <c r="H36" s="7" t="inlineStr"/>
      <c r="I36" s="13" t="inlineStr">
        <is>
          <t>☐</t>
        </is>
      </c>
    </row>
    <row r="37" ht="26" customHeight="1">
      <c r="A37" s="3" t="inlineStr">
        <is>
          <t>10:30</t>
        </is>
      </c>
      <c r="B37" s="3" t="inlineStr">
        <is>
          <t>Grab to Hoi An — direct</t>
        </is>
      </c>
      <c r="C37" s="3" t="inlineStr">
        <is>
          <t>My Khe → Hoi An Old Town</t>
        </is>
      </c>
      <c r="D37" s="14" t="n">
        <v>30</v>
      </c>
      <c r="E37" s="15" t="n">
        <v>40</v>
      </c>
      <c r="F37" s="16" t="n">
        <v>300000</v>
      </c>
      <c r="G37" s="17" t="n">
        <v>16</v>
      </c>
      <c r="H37" s="3" t="inlineStr"/>
      <c r="I37" s="18" t="inlineStr">
        <is>
          <t>☐</t>
        </is>
      </c>
    </row>
    <row r="38" ht="26" customHeight="1">
      <c r="A38" s="7" t="inlineStr">
        <is>
          <t>11:15</t>
        </is>
      </c>
      <c r="B38" s="7" t="inlineStr">
        <is>
          <t>☕ Phin Coffee / Cocobox break</t>
        </is>
      </c>
      <c r="C38" s="7" t="inlineStr">
        <is>
          <t>arrival café</t>
        </is>
      </c>
      <c r="D38" s="9" t="n">
        <v>0.3</v>
      </c>
      <c r="E38" s="10" t="n">
        <v>5</v>
      </c>
      <c r="F38" s="11" t="n">
        <v>80000</v>
      </c>
      <c r="G38" s="12" t="n">
        <v>4</v>
      </c>
      <c r="H38" s="7" t="inlineStr">
        <is>
          <t>★ Local roaster</t>
        </is>
      </c>
      <c r="I38" s="13" t="inlineStr">
        <is>
          <t>☐</t>
        </is>
      </c>
    </row>
    <row r="39" ht="26" customHeight="1">
      <c r="A39" s="3" t="inlineStr">
        <is>
          <t>12:30</t>
        </is>
      </c>
      <c r="B39" s="3" t="inlineStr">
        <is>
          <t>Bánh Mì Phượng or Madam Khánh</t>
        </is>
      </c>
      <c r="C39" s="3" t="inlineStr">
        <is>
          <t>walk in Old Town</t>
        </is>
      </c>
      <c r="D39" s="14" t="n">
        <v>0.4</v>
      </c>
      <c r="E39" s="15" t="n">
        <v>6</v>
      </c>
      <c r="F39" s="16" t="n">
        <v>80000</v>
      </c>
      <c r="G39" s="17" t="n">
        <v>4</v>
      </c>
      <c r="H39" s="3" t="inlineStr">
        <is>
          <t>Bourdain pick</t>
        </is>
      </c>
      <c r="I39" s="18" t="inlineStr">
        <is>
          <t>☐</t>
        </is>
      </c>
    </row>
    <row r="40" ht="26" customHeight="1">
      <c r="A40" s="7" t="inlineStr">
        <is>
          <t>14:00</t>
        </is>
      </c>
      <c r="B40" s="7" t="inlineStr">
        <is>
          <t>🏖️ An Bàng Beach (quiet alt)</t>
        </is>
      </c>
      <c r="C40" s="7" t="inlineStr">
        <is>
          <t>Old Town → An Bàng</t>
        </is>
      </c>
      <c r="D40" s="9" t="n">
        <v>3</v>
      </c>
      <c r="E40" s="10" t="n">
        <v>10</v>
      </c>
      <c r="F40" s="11" t="n">
        <v>100000</v>
      </c>
      <c r="G40" s="12" t="n">
        <v>5</v>
      </c>
      <c r="H40" s="7" t="inlineStr">
        <is>
          <t>★ Plus 50k lounger</t>
        </is>
      </c>
      <c r="I40" s="13" t="inlineStr">
        <is>
          <t>☐</t>
        </is>
      </c>
    </row>
    <row r="41" ht="26" customHeight="1">
      <c r="A41" s="3" t="inlineStr">
        <is>
          <t>16:00</t>
        </is>
      </c>
      <c r="B41" s="3" t="inlineStr">
        <is>
          <t>Return Old Town; Hoi An pass</t>
        </is>
      </c>
      <c r="C41" s="3" t="inlineStr">
        <is>
          <t>An Bàng → Old Town</t>
        </is>
      </c>
      <c r="D41" s="14" t="n">
        <v>3</v>
      </c>
      <c r="E41" s="15" t="n">
        <v>10</v>
      </c>
      <c r="F41" s="16" t="n">
        <v>120000</v>
      </c>
      <c r="G41" s="17" t="n">
        <v>6</v>
      </c>
      <c r="H41" s="3" t="inlineStr">
        <is>
          <t>Pass covers 5 sites</t>
        </is>
      </c>
      <c r="I41" s="18" t="inlineStr">
        <is>
          <t>☐</t>
        </is>
      </c>
    </row>
    <row r="42" ht="26" customHeight="1">
      <c r="A42" s="7" t="inlineStr">
        <is>
          <t>16:30</t>
        </is>
      </c>
      <c r="B42" s="7" t="inlineStr">
        <is>
          <t>Slow wander: Japanese Bridge, Phùng Hưng, Quan Cong</t>
        </is>
      </c>
      <c r="C42" s="7" t="inlineStr">
        <is>
          <t>Old Town walking</t>
        </is>
      </c>
      <c r="D42" s="9" t="n">
        <v>2</v>
      </c>
      <c r="E42" s="10" t="n">
        <v>90</v>
      </c>
      <c r="F42" s="11" t="n"/>
      <c r="G42" s="12" t="n"/>
      <c r="H42" s="7" t="inlineStr"/>
      <c r="I42" s="13" t="inlineStr">
        <is>
          <t>☐</t>
        </is>
      </c>
    </row>
    <row r="43" ht="26" customHeight="1">
      <c r="A43" s="3" t="inlineStr">
        <is>
          <t>18:00</t>
        </is>
      </c>
      <c r="B43" s="3" t="inlineStr">
        <is>
          <t>Optional Thanh Hà Pottery detour</t>
        </is>
      </c>
      <c r="C43" s="3" t="inlineStr">
        <is>
          <t>Old Town → Thanh Hà</t>
        </is>
      </c>
      <c r="D43" s="14" t="n">
        <v>3</v>
      </c>
      <c r="E43" s="15" t="n">
        <v>15</v>
      </c>
      <c r="F43" s="16" t="n">
        <v>100000</v>
      </c>
      <c r="G43" s="17" t="n">
        <v>5</v>
      </c>
      <c r="H43" s="3" t="inlineStr">
        <is>
          <t>★ Tourist-light</t>
        </is>
      </c>
      <c r="I43" s="18" t="inlineStr">
        <is>
          <t>☐</t>
        </is>
      </c>
    </row>
    <row r="44" ht="26" customHeight="1">
      <c r="A44" s="7" t="inlineStr">
        <is>
          <t>19:00</t>
        </is>
      </c>
      <c r="B44" s="7" t="inlineStr">
        <is>
          <t>Dinner: Nữ Eatery or Morning Glory</t>
        </is>
      </c>
      <c r="C44" s="7" t="inlineStr">
        <is>
          <t>in Old Town</t>
        </is>
      </c>
      <c r="D44" s="9" t="n">
        <v>0.4</v>
      </c>
      <c r="E44" s="10" t="n">
        <v>6</v>
      </c>
      <c r="F44" s="11" t="n">
        <v>450000</v>
      </c>
      <c r="G44" s="12" t="n">
        <v>24</v>
      </c>
      <c r="H44" s="7" t="inlineStr">
        <is>
          <t>Per pax</t>
        </is>
      </c>
      <c r="I44" s="13" t="inlineStr">
        <is>
          <t>☐</t>
        </is>
      </c>
    </row>
    <row r="45" ht="26" customHeight="1">
      <c r="A45" s="3" t="inlineStr">
        <is>
          <t>20:30</t>
        </is>
      </c>
      <c r="B45" s="3" t="inlineStr">
        <is>
          <t>Lantern boat Hoài River</t>
        </is>
      </c>
      <c r="C45" s="3" t="inlineStr">
        <is>
          <t>riverside</t>
        </is>
      </c>
      <c r="D45" s="14" t="n"/>
      <c r="E45" s="15" t="n"/>
      <c r="F45" s="16" t="n">
        <v>100000</v>
      </c>
      <c r="G45" s="17" t="n">
        <v>5</v>
      </c>
      <c r="H45" s="3" t="inlineStr">
        <is>
          <t>Negotiate first</t>
        </is>
      </c>
      <c r="I45" s="18" t="inlineStr">
        <is>
          <t>☐</t>
        </is>
      </c>
    </row>
    <row r="46" ht="26" customHeight="1">
      <c r="A46" s="7" t="inlineStr">
        <is>
          <t>21:30</t>
        </is>
      </c>
      <c r="B46" s="7" t="inlineStr">
        <is>
          <t>Grab back to Da Nang</t>
        </is>
      </c>
      <c r="C46" s="7" t="inlineStr">
        <is>
          <t>Hoi An → My Khe</t>
        </is>
      </c>
      <c r="D46" s="9" t="n">
        <v>30</v>
      </c>
      <c r="E46" s="10" t="n">
        <v>42</v>
      </c>
      <c r="F46" s="11" t="n">
        <v>300000</v>
      </c>
      <c r="G46" s="12" t="n">
        <v>16</v>
      </c>
      <c r="H46" s="7" t="inlineStr"/>
      <c r="I46" s="13" t="inlineStr">
        <is>
          <t>☐</t>
        </is>
      </c>
    </row>
    <row r="47">
      <c r="A47" s="19" t="inlineStr">
        <is>
          <t>Day total</t>
        </is>
      </c>
      <c r="B47" s="19" t="n"/>
      <c r="C47" s="19" t="n"/>
      <c r="D47" s="20">
        <f>SUM(D36:D46)</f>
        <v/>
      </c>
      <c r="E47" s="21">
        <f>SUM(E36:E46)</f>
        <v/>
      </c>
      <c r="F47" s="22">
        <f>SUM(F36:F46)</f>
        <v/>
      </c>
      <c r="G47" s="23">
        <f>SUM(G36:G46)</f>
        <v/>
      </c>
      <c r="H47" s="19" t="n"/>
      <c r="I47" s="24" t="n"/>
    </row>
    <row r="49" ht="22" customHeight="1">
      <c r="A49" s="49" t="inlineStr">
        <is>
          <t>Day 4 — Mon 17 Aug: Sunrise Son Tra + Marble + Long Spa</t>
        </is>
      </c>
    </row>
    <row r="50">
      <c r="A50" s="6" t="inlineStr">
        <is>
          <t>Time</t>
        </is>
      </c>
      <c r="B50" s="6" t="inlineStr">
        <is>
          <t>Activity</t>
        </is>
      </c>
      <c r="C50" s="6" t="inlineStr">
        <is>
          <t>From → To</t>
        </is>
      </c>
      <c r="D50" s="6" t="inlineStr">
        <is>
          <t>Dist (km)</t>
        </is>
      </c>
      <c r="E50" s="6" t="inlineStr">
        <is>
          <t>Travel (min)</t>
        </is>
      </c>
      <c r="F50" s="6" t="inlineStr">
        <is>
          <t>Cost (VND)</t>
        </is>
      </c>
      <c r="G50" s="6" t="inlineStr">
        <is>
          <t>Cost (SGD)</t>
        </is>
      </c>
      <c r="H50" s="6" t="inlineStr">
        <is>
          <t>Notes</t>
        </is>
      </c>
      <c r="I50" s="6" t="inlineStr">
        <is>
          <t>✓</t>
        </is>
      </c>
    </row>
    <row r="51" ht="26" customHeight="1">
      <c r="A51" s="7" t="inlineStr">
        <is>
          <t>05:30</t>
        </is>
      </c>
      <c r="B51" s="7" t="inlineStr">
        <is>
          <t>☀️ Pre-dawn Grab to Son Tra</t>
        </is>
      </c>
      <c r="C51" s="7" t="inlineStr">
        <is>
          <t>My Khe → Lady Buddha</t>
        </is>
      </c>
      <c r="D51" s="9" t="n">
        <v>12</v>
      </c>
      <c r="E51" s="10" t="n">
        <v>22</v>
      </c>
      <c r="F51" s="11" t="n">
        <v>150000</v>
      </c>
      <c r="G51" s="12" t="n">
        <v>8</v>
      </c>
      <c r="H51" s="7" t="inlineStr">
        <is>
          <t>★ Empty at sunrise</t>
        </is>
      </c>
      <c r="I51" s="13" t="inlineStr">
        <is>
          <t>☐</t>
        </is>
      </c>
    </row>
    <row r="52" ht="26" customHeight="1">
      <c r="A52" s="3" t="inlineStr">
        <is>
          <t>06:00</t>
        </is>
      </c>
      <c r="B52" s="3" t="inlineStr">
        <is>
          <t>Lady Buddha sunrise + chanting</t>
        </is>
      </c>
      <c r="C52" s="3" t="inlineStr">
        <is>
          <t>on-site walking</t>
        </is>
      </c>
      <c r="D52" s="14" t="n">
        <v>0.8</v>
      </c>
      <c r="E52" s="15" t="n">
        <v>60</v>
      </c>
      <c r="F52" s="16" t="n"/>
      <c r="G52" s="17" t="n"/>
      <c r="H52" s="3" t="inlineStr">
        <is>
          <t>Modest dress; monkeys active</t>
        </is>
      </c>
      <c r="I52" s="18" t="inlineStr">
        <is>
          <t>☐</t>
        </is>
      </c>
    </row>
    <row r="53" ht="26" customHeight="1">
      <c r="A53" s="7" t="inlineStr">
        <is>
          <t>07:30</t>
        </is>
      </c>
      <c r="B53" s="7" t="inlineStr">
        <is>
          <t>Bãi Bụt viewpoint detour</t>
        </is>
      </c>
      <c r="C53" s="7" t="inlineStr">
        <is>
          <t>coastal Son Tra</t>
        </is>
      </c>
      <c r="D53" s="9" t="n">
        <v>3.5</v>
      </c>
      <c r="E53" s="10" t="n">
        <v>30</v>
      </c>
      <c r="F53" s="11" t="n"/>
      <c r="G53" s="12" t="n"/>
      <c r="H53" s="7" t="inlineStr"/>
      <c r="I53" s="13" t="inlineStr">
        <is>
          <t>☐</t>
        </is>
      </c>
    </row>
    <row r="54" ht="26" customHeight="1">
      <c r="A54" s="3" t="inlineStr">
        <is>
          <t>08:30</t>
        </is>
      </c>
      <c r="B54" s="3" t="inlineStr">
        <is>
          <t>Back to hotel — late breakfast</t>
        </is>
      </c>
      <c r="C54" s="3" t="inlineStr">
        <is>
          <t>Son Tra → Hotel</t>
        </is>
      </c>
      <c r="D54" s="14" t="n">
        <v>12</v>
      </c>
      <c r="E54" s="15" t="n">
        <v>22</v>
      </c>
      <c r="F54" s="16" t="n">
        <v>120000</v>
      </c>
      <c r="G54" s="17" t="n">
        <v>6</v>
      </c>
      <c r="H54" s="3" t="inlineStr"/>
      <c r="I54" s="18" t="inlineStr">
        <is>
          <t>☐</t>
        </is>
      </c>
    </row>
    <row r="55" ht="26" customHeight="1">
      <c r="A55" s="7" t="inlineStr">
        <is>
          <t>09:30</t>
        </is>
      </c>
      <c r="B55" s="7" t="inlineStr">
        <is>
          <t>Hotel pool / nap window</t>
        </is>
      </c>
      <c r="C55" s="7" t="inlineStr">
        <is>
          <t>at Hotel</t>
        </is>
      </c>
      <c r="D55" s="9" t="n"/>
      <c r="E55" s="10" t="n"/>
      <c r="F55" s="11" t="n"/>
      <c r="G55" s="12" t="n"/>
      <c r="H55" s="7" t="inlineStr">
        <is>
          <t>Recover sunrise wake</t>
        </is>
      </c>
      <c r="I55" s="13" t="inlineStr">
        <is>
          <t>☐</t>
        </is>
      </c>
    </row>
    <row r="56" ht="26" customHeight="1">
      <c r="A56" s="3" t="inlineStr">
        <is>
          <t>11:00</t>
        </is>
      </c>
      <c r="B56" s="3" t="inlineStr">
        <is>
          <t>Grab to Marble Mountains</t>
        </is>
      </c>
      <c r="C56" s="3" t="inlineStr">
        <is>
          <t>My Khe → Marble</t>
        </is>
      </c>
      <c r="D56" s="14" t="n">
        <v>8</v>
      </c>
      <c r="E56" s="15" t="n">
        <v>17</v>
      </c>
      <c r="F56" s="16" t="n">
        <v>100000</v>
      </c>
      <c r="G56" s="17" t="n">
        <v>5</v>
      </c>
      <c r="H56" s="3" t="inlineStr"/>
      <c r="I56" s="18" t="inlineStr">
        <is>
          <t>☐</t>
        </is>
      </c>
    </row>
    <row r="57" ht="26" customHeight="1">
      <c r="A57" s="7" t="inlineStr">
        <is>
          <t>11:15</t>
        </is>
      </c>
      <c r="B57" s="7" t="inlineStr">
        <is>
          <t>Marble Mountains (elevator + Am Phủ)</t>
        </is>
      </c>
      <c r="C57" s="7" t="inlineStr">
        <is>
          <t>on-site</t>
        </is>
      </c>
      <c r="D57" s="9" t="n">
        <v>1.5</v>
      </c>
      <c r="E57" s="10" t="n">
        <v>90</v>
      </c>
      <c r="F57" s="11" t="n">
        <v>55000</v>
      </c>
      <c r="G57" s="12" t="n">
        <v>3</v>
      </c>
      <c r="H57" s="7" t="inlineStr"/>
      <c r="I57" s="13" t="inlineStr">
        <is>
          <t>☐</t>
        </is>
      </c>
    </row>
    <row r="58" ht="26" customHeight="1">
      <c r="A58" s="3" t="inlineStr">
        <is>
          <t>13:00</t>
        </is>
      </c>
      <c r="B58" s="3" t="inlineStr">
        <is>
          <t>Lunch: Pizza 4Ps or Bún Chả Cá Bà Phiến</t>
        </is>
      </c>
      <c r="C58" s="3" t="inlineStr">
        <is>
          <t>Marble → city</t>
        </is>
      </c>
      <c r="D58" s="14" t="n">
        <v>6</v>
      </c>
      <c r="E58" s="15" t="n">
        <v>15</v>
      </c>
      <c r="F58" s="16" t="n">
        <v>250000</v>
      </c>
      <c r="G58" s="17" t="n">
        <v>14</v>
      </c>
      <c r="H58" s="3" t="inlineStr">
        <is>
          <t>★ Locals pick</t>
        </is>
      </c>
      <c r="I58" s="18" t="inlineStr">
        <is>
          <t>☐</t>
        </is>
      </c>
    </row>
    <row r="59" ht="26" customHeight="1">
      <c r="A59" s="7" t="inlineStr">
        <is>
          <t>14:30</t>
        </is>
      </c>
      <c r="B59" s="7" t="inlineStr">
        <is>
          <t>Hotel: pool/beach</t>
        </is>
      </c>
      <c r="C59" s="7" t="inlineStr">
        <is>
          <t>city → Hotel</t>
        </is>
      </c>
      <c r="D59" s="9" t="n">
        <v>4</v>
      </c>
      <c r="E59" s="10" t="n">
        <v>12</v>
      </c>
      <c r="F59" s="11" t="n">
        <v>80000</v>
      </c>
      <c r="G59" s="12" t="n">
        <v>4</v>
      </c>
      <c r="H59" s="7" t="inlineStr"/>
      <c r="I59" s="13" t="inlineStr">
        <is>
          <t>☐</t>
        </is>
      </c>
    </row>
    <row r="60" ht="26" customHeight="1">
      <c r="A60" s="3" t="inlineStr">
        <is>
          <t>16:00</t>
        </is>
      </c>
      <c r="B60" s="3" t="inlineStr">
        <is>
          <t>💆 150-min long spa ritual</t>
        </is>
      </c>
      <c r="C60" s="3" t="inlineStr">
        <is>
          <t>Hotel area</t>
        </is>
      </c>
      <c r="D60" s="14" t="n">
        <v>0.5</v>
      </c>
      <c r="E60" s="15" t="n">
        <v>5</v>
      </c>
      <c r="F60" s="16" t="n">
        <v>1300000</v>
      </c>
      <c r="G60" s="17" t="n">
        <v>70</v>
      </c>
      <c r="H60" s="3" t="inlineStr">
        <is>
          <t>Royal/Signature package</t>
        </is>
      </c>
      <c r="I60" s="18" t="inlineStr">
        <is>
          <t>☐</t>
        </is>
      </c>
    </row>
    <row r="61" ht="26" customHeight="1">
      <c r="A61" s="7" t="inlineStr">
        <is>
          <t>19:30</t>
        </is>
      </c>
      <c r="B61" s="7" t="inlineStr">
        <is>
          <t>Seafood: Bé Mặn Da Nang</t>
        </is>
      </c>
      <c r="C61" s="7" t="inlineStr">
        <is>
          <t>walk</t>
        </is>
      </c>
      <c r="D61" s="9" t="n">
        <v>0.5</v>
      </c>
      <c r="E61" s="10" t="n">
        <v>8</v>
      </c>
      <c r="F61" s="11" t="n">
        <v>600000</v>
      </c>
      <c r="G61" s="12" t="n">
        <v>32</v>
      </c>
      <c r="H61" s="7" t="inlineStr">
        <is>
          <t>★ Locals choice</t>
        </is>
      </c>
      <c r="I61" s="13" t="inlineStr">
        <is>
          <t>☐</t>
        </is>
      </c>
    </row>
    <row r="62" ht="26" customHeight="1">
      <c r="A62" s="3" t="inlineStr">
        <is>
          <t>21:30</t>
        </is>
      </c>
      <c r="B62" s="3" t="inlineStr">
        <is>
          <t>Beach walk under stars</t>
        </is>
      </c>
      <c r="C62" s="3" t="inlineStr">
        <is>
          <t>walk</t>
        </is>
      </c>
      <c r="D62" s="14" t="n">
        <v>0.3</v>
      </c>
      <c r="E62" s="15" t="n">
        <v>5</v>
      </c>
      <c r="F62" s="16" t="n"/>
      <c r="G62" s="17" t="n"/>
      <c r="H62" s="3" t="inlineStr"/>
      <c r="I62" s="18" t="inlineStr">
        <is>
          <t>☐</t>
        </is>
      </c>
    </row>
    <row r="63">
      <c r="A63" s="19" t="inlineStr">
        <is>
          <t>Day total</t>
        </is>
      </c>
      <c r="B63" s="19" t="n"/>
      <c r="C63" s="19" t="n"/>
      <c r="D63" s="20">
        <f>SUM(D51:D62)</f>
        <v/>
      </c>
      <c r="E63" s="21">
        <f>SUM(E51:E62)</f>
        <v/>
      </c>
      <c r="F63" s="22">
        <f>SUM(F51:F62)</f>
        <v/>
      </c>
      <c r="G63" s="23">
        <f>SUM(G51:G62)</f>
        <v/>
      </c>
      <c r="H63" s="19" t="n"/>
      <c r="I63" s="24" t="n"/>
    </row>
    <row r="65" ht="22" customHeight="1">
      <c r="A65" s="49" t="inlineStr">
        <is>
          <t>Day 5 — Tue 18 Aug: Culture &amp; Café Slow Goodbye</t>
        </is>
      </c>
    </row>
    <row r="66">
      <c r="A66" s="6" t="inlineStr">
        <is>
          <t>Time</t>
        </is>
      </c>
      <c r="B66" s="6" t="inlineStr">
        <is>
          <t>Activity</t>
        </is>
      </c>
      <c r="C66" s="6" t="inlineStr">
        <is>
          <t>From → To</t>
        </is>
      </c>
      <c r="D66" s="6" t="inlineStr">
        <is>
          <t>Dist (km)</t>
        </is>
      </c>
      <c r="E66" s="6" t="inlineStr">
        <is>
          <t>Travel (min)</t>
        </is>
      </c>
      <c r="F66" s="6" t="inlineStr">
        <is>
          <t>Cost (VND)</t>
        </is>
      </c>
      <c r="G66" s="6" t="inlineStr">
        <is>
          <t>Cost (SGD)</t>
        </is>
      </c>
      <c r="H66" s="6" t="inlineStr">
        <is>
          <t>Notes</t>
        </is>
      </c>
      <c r="I66" s="6" t="inlineStr">
        <is>
          <t>✓</t>
        </is>
      </c>
    </row>
    <row r="67" ht="26" customHeight="1">
      <c r="A67" s="7" t="inlineStr">
        <is>
          <t>08:30</t>
        </is>
      </c>
      <c r="B67" s="7" t="inlineStr">
        <is>
          <t>Late breakfast</t>
        </is>
      </c>
      <c r="C67" s="7" t="inlineStr">
        <is>
          <t>at Hotel</t>
        </is>
      </c>
      <c r="D67" s="9" t="n"/>
      <c r="E67" s="10" t="n"/>
      <c r="F67" s="11" t="n"/>
      <c r="G67" s="12" t="n"/>
      <c r="H67" s="7" t="inlineStr"/>
      <c r="I67" s="13" t="inlineStr">
        <is>
          <t>☐</t>
        </is>
      </c>
    </row>
    <row r="68" ht="26" customHeight="1">
      <c r="A68" s="3" t="inlineStr">
        <is>
          <t>10:00</t>
        </is>
      </c>
      <c r="B68" s="3" t="inlineStr">
        <is>
          <t>Cộng Cà Phê</t>
        </is>
      </c>
      <c r="C68" s="3" t="inlineStr">
        <is>
          <t>My Khe → Cộng (Bach Dang)</t>
        </is>
      </c>
      <c r="D68" s="14" t="n">
        <v>4.5</v>
      </c>
      <c r="E68" s="15" t="n">
        <v>14</v>
      </c>
      <c r="F68" s="16" t="n">
        <v>70000</v>
      </c>
      <c r="G68" s="17" t="n">
        <v>4</v>
      </c>
      <c r="H68" s="3" t="inlineStr">
        <is>
          <t>Coconut coffee</t>
        </is>
      </c>
      <c r="I68" s="18" t="inlineStr">
        <is>
          <t>☐</t>
        </is>
      </c>
    </row>
    <row r="69" ht="26" customHeight="1">
      <c r="A69" s="7" t="inlineStr">
        <is>
          <t>10:45</t>
        </is>
      </c>
      <c r="B69" s="7" t="inlineStr">
        <is>
          <t>🏛️ Cham Museum of Sculpture</t>
        </is>
      </c>
      <c r="C69" s="7" t="inlineStr">
        <is>
          <t>Cộng → Cham (walk)</t>
        </is>
      </c>
      <c r="D69" s="9" t="n">
        <v>0.4</v>
      </c>
      <c r="E69" s="10" t="n">
        <v>6</v>
      </c>
      <c r="F69" s="11" t="n">
        <v>60000</v>
      </c>
      <c r="G69" s="12" t="n">
        <v>3</v>
      </c>
      <c r="H69" s="7" t="inlineStr">
        <is>
          <t>★ Hidden gem, AC</t>
        </is>
      </c>
      <c r="I69" s="13" t="inlineStr">
        <is>
          <t>☐</t>
        </is>
      </c>
    </row>
    <row r="70" ht="26" customHeight="1">
      <c r="A70" s="3" t="inlineStr">
        <is>
          <t>12:00</t>
        </is>
      </c>
      <c r="B70" s="3" t="inlineStr">
        <is>
          <t>Pink Cathedral photo stop</t>
        </is>
      </c>
      <c r="C70" s="3" t="inlineStr">
        <is>
          <t>Cham → Cathedral (walk)</t>
        </is>
      </c>
      <c r="D70" s="14" t="n">
        <v>0.4</v>
      </c>
      <c r="E70" s="15" t="n">
        <v>5</v>
      </c>
      <c r="F70" s="16" t="n"/>
      <c r="G70" s="17" t="n"/>
      <c r="H70" s="3" t="inlineStr"/>
      <c r="I70" s="18" t="inlineStr">
        <is>
          <t>☐</t>
        </is>
      </c>
    </row>
    <row r="71" ht="26" customHeight="1">
      <c r="A71" s="7" t="inlineStr">
        <is>
          <t>12:30</t>
        </is>
      </c>
      <c r="B71" s="7" t="inlineStr">
        <is>
          <t>Lunch: Phở Thìn / Bún Chả Cá</t>
        </is>
      </c>
      <c r="C71" s="7" t="inlineStr">
        <is>
          <t>in city centre</t>
        </is>
      </c>
      <c r="D71" s="9" t="n">
        <v>0.8</v>
      </c>
      <c r="E71" s="10" t="n">
        <v>8</v>
      </c>
      <c r="F71" s="11" t="n">
        <v>120000</v>
      </c>
      <c r="G71" s="12" t="n">
        <v>6</v>
      </c>
      <c r="H71" s="7" t="inlineStr"/>
      <c r="I71" s="13" t="inlineStr">
        <is>
          <t>☐</t>
        </is>
      </c>
    </row>
    <row r="72" ht="26" customHeight="1">
      <c r="A72" s="3" t="inlineStr">
        <is>
          <t>14:00</t>
        </is>
      </c>
      <c r="B72" s="3" t="inlineStr">
        <is>
          <t>Hotel — final pack, shower, check out</t>
        </is>
      </c>
      <c r="C72" s="3" t="inlineStr">
        <is>
          <t>city → Hotel</t>
        </is>
      </c>
      <c r="D72" s="14" t="n">
        <v>4.5</v>
      </c>
      <c r="E72" s="15" t="n">
        <v>14</v>
      </c>
      <c r="F72" s="16" t="n">
        <v>80000</v>
      </c>
      <c r="G72" s="17" t="n">
        <v>4</v>
      </c>
      <c r="H72" s="3" t="inlineStr"/>
      <c r="I72" s="18" t="inlineStr">
        <is>
          <t>☐</t>
        </is>
      </c>
    </row>
    <row r="73" ht="26" customHeight="1">
      <c r="A73" s="7" t="inlineStr">
        <is>
          <t>15:00</t>
        </is>
      </c>
      <c r="B73" s="7" t="inlineStr">
        <is>
          <t>Grab to airport (3hr buffer)</t>
        </is>
      </c>
      <c r="C73" s="7" t="inlineStr">
        <is>
          <t>Hotel → DAD</t>
        </is>
      </c>
      <c r="D73" s="9" t="n">
        <v>6</v>
      </c>
      <c r="E73" s="10" t="n">
        <v>18</v>
      </c>
      <c r="F73" s="11" t="n">
        <v>150000</v>
      </c>
      <c r="G73" s="12" t="n">
        <v>8</v>
      </c>
      <c r="H73" s="7" t="inlineStr"/>
      <c r="I73" s="13" t="inlineStr">
        <is>
          <t>☐</t>
        </is>
      </c>
    </row>
    <row r="74" ht="26" customHeight="1">
      <c r="A74" s="3" t="inlineStr">
        <is>
          <t>15:30</t>
        </is>
      </c>
      <c r="B74" s="3" t="inlineStr">
        <is>
          <t>Arrive DAD</t>
        </is>
      </c>
      <c r="C74" s="3" t="inlineStr">
        <is>
          <t>DAD</t>
        </is>
      </c>
      <c r="D74" s="14" t="n"/>
      <c r="E74" s="15" t="n"/>
      <c r="F74" s="16" t="n"/>
      <c r="G74" s="17" t="n"/>
      <c r="H74" s="3" t="inlineStr">
        <is>
          <t>Scoot T-3hr intl</t>
        </is>
      </c>
      <c r="I74" s="18" t="inlineStr">
        <is>
          <t>☐</t>
        </is>
      </c>
    </row>
    <row r="75" ht="26" customHeight="1">
      <c r="A75" s="7" t="inlineStr">
        <is>
          <t>18:30</t>
        </is>
      </c>
      <c r="B75" s="7" t="inlineStr">
        <is>
          <t>Scoot departs DAD → SIN</t>
        </is>
      </c>
      <c r="C75" s="7" t="inlineStr">
        <is>
          <t>in flight</t>
        </is>
      </c>
      <c r="D75" s="9" t="n"/>
      <c r="E75" s="10" t="n"/>
      <c r="F75" s="11" t="n"/>
      <c r="G75" s="12" t="n"/>
      <c r="H75" s="7" t="inlineStr"/>
      <c r="I75" s="13" t="inlineStr">
        <is>
          <t>☐</t>
        </is>
      </c>
    </row>
    <row r="76" ht="26" customHeight="1">
      <c r="A76" s="3" t="inlineStr">
        <is>
          <t>22:00</t>
        </is>
      </c>
      <c r="B76" s="3" t="inlineStr">
        <is>
          <t>Land SIN Changi</t>
        </is>
      </c>
      <c r="C76" s="3" t="inlineStr">
        <is>
          <t>SIN arrival</t>
        </is>
      </c>
      <c r="D76" s="14" t="n"/>
      <c r="E76" s="15" t="n"/>
      <c r="F76" s="16" t="n"/>
      <c r="G76" s="17" t="n"/>
      <c r="H76" s="3" t="inlineStr"/>
      <c r="I76" s="18" t="inlineStr">
        <is>
          <t>☐</t>
        </is>
      </c>
    </row>
    <row r="77">
      <c r="A77" s="19" t="inlineStr">
        <is>
          <t>Day total</t>
        </is>
      </c>
      <c r="B77" s="19" t="n"/>
      <c r="C77" s="19" t="n"/>
      <c r="D77" s="20">
        <f>SUM(D67:D76)</f>
        <v/>
      </c>
      <c r="E77" s="21">
        <f>SUM(E67:E76)</f>
        <v/>
      </c>
      <c r="F77" s="22">
        <f>SUM(F67:F76)</f>
        <v/>
      </c>
      <c r="G77" s="23">
        <f>SUM(G67:G76)</f>
        <v/>
      </c>
      <c r="H77" s="19" t="n"/>
      <c r="I77" s="24" t="n"/>
    </row>
  </sheetData>
  <mergeCells count="7">
    <mergeCell ref="A65:I65"/>
    <mergeCell ref="A19:I19"/>
    <mergeCell ref="A2:I2"/>
    <mergeCell ref="A49:I49"/>
    <mergeCell ref="A1:I1"/>
    <mergeCell ref="A34:I34"/>
    <mergeCell ref="A4:I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38" customWidth="1" min="4" max="4"/>
    <col width="38" customWidth="1" min="5" max="5"/>
    <col width="8" customWidth="1" min="6" max="6"/>
  </cols>
  <sheetData>
    <row r="1" ht="24" customHeight="1">
      <c r="A1" s="50" t="inlineStr">
        <is>
          <t>💎 Hidden Gems &amp; Anti-Tourist Swaps</t>
        </is>
      </c>
    </row>
    <row r="2" ht="36" customHeight="1">
      <c r="A2" s="51" t="inlineStr">
        <is>
          <t>All vetted as light-traffic vs the Ba Na / Mộc Hải Sản / Cửa Đại standard circuit. Distance from My Khe base hotel.</t>
        </is>
      </c>
    </row>
    <row r="4" ht="20" customHeight="1">
      <c r="A4" s="52" t="inlineStr">
        <is>
          <t>NATURE / SCENIC</t>
        </is>
      </c>
    </row>
    <row r="5">
      <c r="A5" s="6" t="inlineStr">
        <is>
          <t>Place</t>
        </is>
      </c>
      <c r="B5" s="6" t="inlineStr">
        <is>
          <t>Distance from My Khe</t>
        </is>
      </c>
      <c r="C5" s="6" t="inlineStr">
        <is>
          <t>Travel time</t>
        </is>
      </c>
      <c r="D5" s="6" t="inlineStr">
        <is>
          <t>Why it stays quiet</t>
        </is>
      </c>
      <c r="E5" s="6" t="inlineStr">
        <is>
          <t>Notes / When</t>
        </is>
      </c>
      <c r="F5" s="6" t="inlineStr">
        <is>
          <t>Tried?</t>
        </is>
      </c>
    </row>
    <row r="6" ht="36" customHeight="1">
      <c r="A6" s="53" t="inlineStr">
        <is>
          <t>Hai Van Pass + Lăng Cô</t>
        </is>
      </c>
      <c r="B6" s="54" t="inlineStr">
        <is>
          <t>~30 km N + 12 km N of pass</t>
        </is>
      </c>
      <c r="C6" s="54" t="inlineStr">
        <is>
          <t>~60 min one way</t>
        </is>
      </c>
      <c r="D6" s="7" t="inlineStr">
        <is>
          <t>Top Gear-famous coastal pass + UNWTO-listed bay</t>
        </is>
      </c>
      <c r="E6" s="7" t="inlineStr">
        <is>
          <t>Half/full-day; v2 Day 2 anchor</t>
        </is>
      </c>
      <c r="F6" s="55" t="inlineStr">
        <is>
          <t>☐</t>
        </is>
      </c>
    </row>
    <row r="7" ht="36" customHeight="1">
      <c r="A7" s="56" t="inlineStr">
        <is>
          <t>Bạch Mã National Park</t>
        </is>
      </c>
      <c r="B7" s="57" t="inlineStr">
        <is>
          <t>~70 km N</t>
        </is>
      </c>
      <c r="C7" s="57" t="inlineStr">
        <is>
          <t>~90 min</t>
        </is>
      </c>
      <c r="D7" s="3" t="inlineStr">
        <is>
          <t>Cloud-forest summit, French ruins, rare birds, cool 18–24°C</t>
        </is>
      </c>
      <c r="E7" s="3" t="inlineStr">
        <is>
          <t>Full-day; book park guide</t>
        </is>
      </c>
      <c r="F7" s="58" t="inlineStr">
        <is>
          <t>☐</t>
        </is>
      </c>
    </row>
    <row r="8" ht="36" customHeight="1">
      <c r="A8" s="53" t="inlineStr">
        <is>
          <t>Suối Hoa Waterfall</t>
        </is>
      </c>
      <c r="B8" s="54" t="inlineStr">
        <is>
          <t>~30 km W</t>
        </is>
      </c>
      <c r="C8" s="54" t="inlineStr">
        <is>
          <t>~40 min</t>
        </is>
      </c>
      <c r="D8" s="7" t="inlineStr">
        <is>
          <t>Local-only swimming + bamboo huts</t>
        </is>
      </c>
      <c r="E8" s="7" t="inlineStr">
        <is>
          <t>Half-day; arrange round-trip ride</t>
        </is>
      </c>
      <c r="F8" s="55" t="inlineStr">
        <is>
          <t>☐</t>
        </is>
      </c>
    </row>
    <row r="9" ht="36" customHeight="1">
      <c r="A9" s="56" t="inlineStr">
        <is>
          <t>Núi Thần Tài Hot Springs</t>
        </is>
      </c>
      <c r="B9" s="57" t="inlineStr">
        <is>
          <t>~35 km W</t>
        </is>
      </c>
      <c r="C9" s="57" t="inlineStr">
        <is>
          <t>~45 min</t>
        </is>
      </c>
      <c r="D9" s="3" t="inlineStr">
        <is>
          <t>Onsen-style park, less bus crowd than Ba Na</t>
        </is>
      </c>
      <c r="E9" s="3" t="inlineStr">
        <is>
          <t>Day pass ~500k; morning best</t>
        </is>
      </c>
      <c r="F9" s="58" t="inlineStr">
        <is>
          <t>☐</t>
        </is>
      </c>
    </row>
    <row r="10" ht="36" customHeight="1">
      <c r="A10" s="53" t="inlineStr">
        <is>
          <t>Cù Lao Chàm Islands</t>
        </is>
      </c>
      <c r="B10" s="54" t="inlineStr">
        <is>
          <t>~30 km via Cửa Đại boat</t>
        </is>
      </c>
      <c r="C10" s="54" t="inlineStr">
        <is>
          <t>~30 min boat</t>
        </is>
      </c>
      <c r="D10" s="7" t="inlineStr">
        <is>
          <t>Marine biosphere reserve, snorkel; boats Aug ✅</t>
        </is>
      </c>
      <c r="E10" s="7" t="inlineStr">
        <is>
          <t>Full-day; book Klook</t>
        </is>
      </c>
      <c r="F10" s="55" t="inlineStr">
        <is>
          <t>☐</t>
        </is>
      </c>
    </row>
    <row r="11" ht="36" customHeight="1">
      <c r="A11" s="56" t="inlineStr">
        <is>
          <t>Mỹ Sơn Sanctuary at dawn</t>
        </is>
      </c>
      <c r="B11" s="57" t="inlineStr">
        <is>
          <t>~50 km SW</t>
        </is>
      </c>
      <c r="C11" s="57" t="inlineStr">
        <is>
          <t>~75 min</t>
        </is>
      </c>
      <c r="D11" s="3" t="inlineStr">
        <is>
          <t>UNESCO Champa ruins; 06:30 arrival = empty</t>
        </is>
      </c>
      <c r="E11" s="3" t="inlineStr">
        <is>
          <t>Pair w/ Hoi An PM = Day 3 alt</t>
        </is>
      </c>
      <c r="F11" s="58" t="inlineStr">
        <is>
          <t>☐</t>
        </is>
      </c>
    </row>
    <row r="12" ht="36" customHeight="1">
      <c r="A12" s="53" t="inlineStr">
        <is>
          <t>Hòa Bắc / Cơ Tu villages</t>
        </is>
      </c>
      <c r="B12" s="54" t="inlineStr">
        <is>
          <t>~35 km NW</t>
        </is>
      </c>
      <c r="C12" s="54" t="inlineStr">
        <is>
          <t>~60 min</t>
        </is>
      </c>
      <c r="D12" s="7" t="inlineStr">
        <is>
          <t>Ethnic minority river community, eco-stays</t>
        </is>
      </c>
      <c r="E12" s="7" t="inlineStr">
        <is>
          <t>Pre-arranged guide</t>
        </is>
      </c>
      <c r="F12" s="55" t="inlineStr">
        <is>
          <t>☐</t>
        </is>
      </c>
    </row>
    <row r="14" ht="20" customHeight="1">
      <c r="A14" s="52" t="inlineStr">
        <is>
          <t>BEACHES (off main strip)</t>
        </is>
      </c>
    </row>
    <row r="15">
      <c r="A15" s="6" t="inlineStr">
        <is>
          <t>Place</t>
        </is>
      </c>
      <c r="B15" s="6" t="inlineStr">
        <is>
          <t>Distance from My Khe</t>
        </is>
      </c>
      <c r="C15" s="6" t="inlineStr">
        <is>
          <t>Travel time</t>
        </is>
      </c>
      <c r="D15" s="6" t="inlineStr">
        <is>
          <t>Why it stays quiet</t>
        </is>
      </c>
      <c r="E15" s="6" t="inlineStr">
        <is>
          <t>Notes / When</t>
        </is>
      </c>
      <c r="F15" s="6" t="inlineStr">
        <is>
          <t>Tried?</t>
        </is>
      </c>
    </row>
    <row r="16" ht="36" customHeight="1">
      <c r="A16" s="53" t="inlineStr">
        <is>
          <t>An Bàng Beach</t>
        </is>
      </c>
      <c r="B16" s="54" t="inlineStr">
        <is>
          <t>~25 km S</t>
        </is>
      </c>
      <c r="C16" s="54" t="inlineStr">
        <is>
          <t>~30 min</t>
        </is>
      </c>
      <c r="D16" s="7" t="inlineStr">
        <is>
          <t>Quieter than Mỹ Khê + Cửa Đại; surf-bar vibe</t>
        </is>
      </c>
      <c r="E16" s="7" t="inlineStr">
        <is>
          <t>v2 Day 3 anchor</t>
        </is>
      </c>
      <c r="F16" s="55" t="inlineStr">
        <is>
          <t>☐</t>
        </is>
      </c>
    </row>
    <row r="17" ht="36" customHeight="1">
      <c r="A17" s="56" t="inlineStr">
        <is>
          <t>Nam Ô Beach + fishing village</t>
        </is>
      </c>
      <c r="B17" s="57" t="inlineStr">
        <is>
          <t>~14 km N</t>
        </is>
      </c>
      <c r="C17" s="57" t="inlineStr">
        <is>
          <t>~25 min</t>
        </is>
      </c>
      <c r="D17" s="3" t="inlineStr">
        <is>
          <t>Raw fish-sauce village; locals only</t>
        </is>
      </c>
      <c r="E17" s="3" t="inlineStr">
        <is>
          <t>Half-day; gỏi cá Nam Ô</t>
        </is>
      </c>
      <c r="F17" s="58" t="inlineStr">
        <is>
          <t>☐</t>
        </is>
      </c>
    </row>
    <row r="18" ht="36" customHeight="1">
      <c r="A18" s="53" t="inlineStr">
        <is>
          <t>Bãi Bụt / Bãi Rạng (Son Tra)</t>
        </is>
      </c>
      <c r="B18" s="54" t="inlineStr">
        <is>
          <t>~15 km E</t>
        </is>
      </c>
      <c r="C18" s="54" t="inlineStr">
        <is>
          <t>~25 min</t>
        </is>
      </c>
      <c r="D18" s="7" t="inlineStr">
        <is>
          <t>Hidden coves on peninsula</t>
        </is>
      </c>
      <c r="E18" s="7" t="inlineStr">
        <is>
          <t>Pair w/ sunrise Lady Buddha</t>
        </is>
      </c>
      <c r="F18" s="55" t="inlineStr">
        <is>
          <t>☐</t>
        </is>
      </c>
    </row>
    <row r="19" ht="36" customHeight="1">
      <c r="A19" s="56" t="inlineStr">
        <is>
          <t>Lăng Cô Beach</t>
        </is>
      </c>
      <c r="B19" s="57" t="inlineStr">
        <is>
          <t>~70 km N (via tunnel)</t>
        </is>
      </c>
      <c r="C19" s="57" t="inlineStr">
        <is>
          <t>~80 min</t>
        </is>
      </c>
      <c r="D19" s="3" t="inlineStr">
        <is>
          <t>See Hai Van entry</t>
        </is>
      </c>
      <c r="E19" s="3" t="inlineStr"/>
      <c r="F19" s="58" t="inlineStr">
        <is>
          <t>☐</t>
        </is>
      </c>
    </row>
    <row r="21" ht="20" customHeight="1">
      <c r="A21" s="52" t="inlineStr">
        <is>
          <t>FOOD (local-only)</t>
        </is>
      </c>
    </row>
    <row r="22">
      <c r="A22" s="6" t="inlineStr">
        <is>
          <t>Place</t>
        </is>
      </c>
      <c r="B22" s="6" t="inlineStr">
        <is>
          <t>Distance from My Khe</t>
        </is>
      </c>
      <c r="C22" s="6" t="inlineStr">
        <is>
          <t>Travel time</t>
        </is>
      </c>
      <c r="D22" s="6" t="inlineStr">
        <is>
          <t>Why it stays quiet</t>
        </is>
      </c>
      <c r="E22" s="6" t="inlineStr">
        <is>
          <t>Notes / When</t>
        </is>
      </c>
      <c r="F22" s="6" t="inlineStr">
        <is>
          <t>Tried?</t>
        </is>
      </c>
    </row>
    <row r="23" ht="36" customHeight="1">
      <c r="A23" s="53" t="inlineStr">
        <is>
          <t>Bún Chả Cá Bà Phiến</t>
        </is>
      </c>
      <c r="B23" s="54" t="inlineStr">
        <is>
          <t>~5 km W</t>
        </is>
      </c>
      <c r="C23" s="54" t="inlineStr">
        <is>
          <t>~12 min</t>
        </is>
      </c>
      <c r="D23" s="7" t="inlineStr">
        <is>
          <t>Fish-cake noodle; locals breakfast, no tourists</t>
        </is>
      </c>
      <c r="E23" s="7" t="inlineStr">
        <is>
          <t>Day 4/5 lunch</t>
        </is>
      </c>
      <c r="F23" s="55" t="inlineStr">
        <is>
          <t>☐</t>
        </is>
      </c>
    </row>
    <row r="24" ht="36" customHeight="1">
      <c r="A24" s="56" t="inlineStr">
        <is>
          <t>Bánh Xèo Bà Dưỡng</t>
        </is>
      </c>
      <c r="B24" s="57" t="inlineStr">
        <is>
          <t>~4 km W</t>
        </is>
      </c>
      <c r="C24" s="57" t="inlineStr">
        <is>
          <t>~12 min</t>
        </is>
      </c>
      <c r="D24" s="3" t="inlineStr">
        <is>
          <t>Decades-old DIY rice pancake; unmarked alley</t>
        </is>
      </c>
      <c r="E24" s="3" t="inlineStr">
        <is>
          <t>Auth alt to Bếp Cuốn</t>
        </is>
      </c>
      <c r="F24" s="58" t="inlineStr">
        <is>
          <t>☐</t>
        </is>
      </c>
    </row>
    <row r="25" ht="36" customHeight="1">
      <c r="A25" s="53" t="inlineStr">
        <is>
          <t>Bé Mặn Seafood</t>
        </is>
      </c>
      <c r="B25" s="54" t="inlineStr">
        <is>
          <t>Beach strip + Lăng Cô</t>
        </is>
      </c>
      <c r="C25" s="54" t="inlineStr">
        <is>
          <t>~5 min walk</t>
        </is>
      </c>
      <c r="D25" s="7" t="inlineStr">
        <is>
          <t>Locals favourite; pick by weight</t>
        </is>
      </c>
      <c r="E25" s="7" t="inlineStr">
        <is>
          <t>Replace Mộc Hải Sản</t>
        </is>
      </c>
      <c r="F25" s="55" t="inlineStr">
        <is>
          <t>☐</t>
        </is>
      </c>
    </row>
    <row r="26" ht="36" customHeight="1">
      <c r="A26" s="56" t="inlineStr">
        <is>
          <t>Nữ Eatery</t>
        </is>
      </c>
      <c r="B26" s="57" t="inlineStr">
        <is>
          <t>Hoi An</t>
        </is>
      </c>
      <c r="C26" s="57" t="inlineStr">
        <is>
          <t>~35 min from My Khe</t>
        </is>
      </c>
      <c r="D26" s="3" t="inlineStr">
        <is>
          <t>Farm-to-table small plates, &lt;30 seats</t>
        </is>
      </c>
      <c r="E26" s="3" t="inlineStr">
        <is>
          <t>v2 Day 3 dinner</t>
        </is>
      </c>
      <c r="F26" s="58" t="inlineStr">
        <is>
          <t>☐</t>
        </is>
      </c>
    </row>
    <row r="27" ht="36" customHeight="1">
      <c r="A27" s="53" t="inlineStr">
        <is>
          <t>Pizza 4Ps Da Nang</t>
        </is>
      </c>
      <c r="B27" s="54" t="inlineStr">
        <is>
          <t>~5 km W</t>
        </is>
      </c>
      <c r="C27" s="54" t="inlineStr">
        <is>
          <t>~12 min</t>
        </is>
      </c>
      <c r="D27" s="7" t="inlineStr">
        <is>
          <t>Cult VN-Japanese pizza; burrata flown in</t>
        </is>
      </c>
      <c r="E27" s="7" t="inlineStr">
        <is>
          <t>Light lunch</t>
        </is>
      </c>
      <c r="F27" s="55" t="inlineStr">
        <is>
          <t>☐</t>
        </is>
      </c>
    </row>
    <row r="28" ht="36" customHeight="1">
      <c r="A28" s="56" t="inlineStr">
        <is>
          <t>Madam Lân (Bà Lân)</t>
        </is>
      </c>
      <c r="B28" s="57" t="inlineStr">
        <is>
          <t>~5 km W</t>
        </is>
      </c>
      <c r="C28" s="57" t="inlineStr">
        <is>
          <t>~12 min</t>
        </is>
      </c>
      <c r="D28" s="3" t="inlineStr">
        <is>
          <t>Central VN tasting in colonial villa</t>
        </is>
      </c>
      <c r="E28" s="3" t="inlineStr">
        <is>
          <t>Sit-down alt</t>
        </is>
      </c>
      <c r="F28" s="58" t="inlineStr">
        <is>
          <t>☐</t>
        </is>
      </c>
    </row>
    <row r="30" ht="20" customHeight="1">
      <c r="A30" s="52" t="inlineStr">
        <is>
          <t>COFFEE (specialty)</t>
        </is>
      </c>
    </row>
    <row r="31">
      <c r="A31" s="6" t="inlineStr">
        <is>
          <t>Place</t>
        </is>
      </c>
      <c r="B31" s="6" t="inlineStr">
        <is>
          <t>Distance from My Khe</t>
        </is>
      </c>
      <c r="C31" s="6" t="inlineStr">
        <is>
          <t>Travel time</t>
        </is>
      </c>
      <c r="D31" s="6" t="inlineStr">
        <is>
          <t>Why it stays quiet</t>
        </is>
      </c>
      <c r="E31" s="6" t="inlineStr">
        <is>
          <t>Notes / When</t>
        </is>
      </c>
      <c r="F31" s="6" t="inlineStr">
        <is>
          <t>Tried?</t>
        </is>
      </c>
    </row>
    <row r="32" ht="36" customHeight="1">
      <c r="A32" s="53" t="inlineStr">
        <is>
          <t>43 Factory Coffee Roaster</t>
        </is>
      </c>
      <c r="B32" s="54" t="inlineStr">
        <is>
          <t>An Thuong (~1 km)</t>
        </is>
      </c>
      <c r="C32" s="54" t="inlineStr">
        <is>
          <t>~5 min</t>
        </is>
      </c>
      <c r="D32" s="7" t="inlineStr">
        <is>
          <t>SE Asia top-30; design-led</t>
        </is>
      </c>
      <c r="E32" s="7" t="inlineStr">
        <is>
          <t>v2 Day 1 anchor</t>
        </is>
      </c>
      <c r="F32" s="55" t="inlineStr">
        <is>
          <t>☐</t>
        </is>
      </c>
    </row>
    <row r="33" ht="36" customHeight="1">
      <c r="A33" s="56" t="inlineStr">
        <is>
          <t>Phin Coffee</t>
        </is>
      </c>
      <c r="B33" s="57" t="inlineStr">
        <is>
          <t>Hoi An</t>
        </is>
      </c>
      <c r="C33" s="57" t="inlineStr">
        <is>
          <t>~35 min</t>
        </is>
      </c>
      <c r="D33" s="3" t="inlineStr">
        <is>
          <t>Back-alley local roaster</t>
        </is>
      </c>
      <c r="E33" s="3" t="inlineStr">
        <is>
          <t>Hoi An morning</t>
        </is>
      </c>
      <c r="F33" s="58" t="inlineStr">
        <is>
          <t>☐</t>
        </is>
      </c>
    </row>
    <row r="34" ht="36" customHeight="1">
      <c r="A34" s="53" t="inlineStr">
        <is>
          <t>The Local Beans</t>
        </is>
      </c>
      <c r="B34" s="54" t="inlineStr">
        <is>
          <t>Pasteur St (~5 km)</t>
        </is>
      </c>
      <c r="C34" s="54" t="inlineStr">
        <is>
          <t>~12 min</t>
        </is>
      </c>
      <c r="D34" s="7" t="inlineStr">
        <is>
          <t>Specialty cold brew Cầu Đất single-origin</t>
        </is>
      </c>
      <c r="E34" s="7" t="inlineStr">
        <is>
          <t>Pre-airport</t>
        </is>
      </c>
      <c r="F34" s="55" t="inlineStr">
        <is>
          <t>☐</t>
        </is>
      </c>
    </row>
    <row r="35" ht="36" customHeight="1">
      <c r="A35" s="56" t="inlineStr">
        <is>
          <t>Cocobox</t>
        </is>
      </c>
      <c r="B35" s="57" t="inlineStr">
        <is>
          <t>Hoi An</t>
        </is>
      </c>
      <c r="C35" s="57" t="inlineStr">
        <is>
          <t>~35 min</t>
        </is>
      </c>
      <c r="D35" s="3" t="inlineStr">
        <is>
          <t>Organic farm-shop café</t>
        </is>
      </c>
      <c r="E35" s="3" t="inlineStr">
        <is>
          <t>Hoi An</t>
        </is>
      </c>
      <c r="F35" s="58" t="inlineStr">
        <is>
          <t>☐</t>
        </is>
      </c>
    </row>
    <row r="36" ht="36" customHeight="1">
      <c r="A36" s="53" t="inlineStr">
        <is>
          <t>Mê Cà Phê</t>
        </is>
      </c>
      <c r="B36" s="54" t="inlineStr">
        <is>
          <t>DN city (~4 km)</t>
        </is>
      </c>
      <c r="C36" s="54" t="inlineStr">
        <is>
          <t>~10 min</t>
        </is>
      </c>
      <c r="D36" s="7" t="inlineStr">
        <is>
          <t>Hidden upstairs hipster + jazz vinyl</t>
        </is>
      </c>
      <c r="E36" s="7" t="inlineStr">
        <is>
          <t>Rainy-day refuge</t>
        </is>
      </c>
      <c r="F36" s="55" t="inlineStr">
        <is>
          <t>☐</t>
        </is>
      </c>
    </row>
    <row r="38" ht="20" customHeight="1">
      <c r="A38" s="52" t="inlineStr">
        <is>
          <t>CULTURE (low-traffic)</t>
        </is>
      </c>
    </row>
    <row r="39">
      <c r="A39" s="6" t="inlineStr">
        <is>
          <t>Place</t>
        </is>
      </c>
      <c r="B39" s="6" t="inlineStr">
        <is>
          <t>Distance from My Khe</t>
        </is>
      </c>
      <c r="C39" s="6" t="inlineStr">
        <is>
          <t>Travel time</t>
        </is>
      </c>
      <c r="D39" s="6" t="inlineStr">
        <is>
          <t>Why it stays quiet</t>
        </is>
      </c>
      <c r="E39" s="6" t="inlineStr">
        <is>
          <t>Notes / When</t>
        </is>
      </c>
      <c r="F39" s="6" t="inlineStr">
        <is>
          <t>Tried?</t>
        </is>
      </c>
    </row>
    <row r="40" ht="36" customHeight="1">
      <c r="A40" s="53" t="inlineStr">
        <is>
          <t>Cham Museum of Sculpture</t>
        </is>
      </c>
      <c r="B40" s="54" t="inlineStr">
        <is>
          <t>~5 km W</t>
        </is>
      </c>
      <c r="C40" s="54" t="inlineStr">
        <is>
          <t>~14 min</t>
        </is>
      </c>
      <c r="D40" s="7" t="inlineStr">
        <is>
          <t>Worlds premier Champa stone collection</t>
        </is>
      </c>
      <c r="E40" s="7" t="inlineStr">
        <is>
          <t>v2 Day 5 anchor</t>
        </is>
      </c>
      <c r="F40" s="55" t="inlineStr">
        <is>
          <t>☐</t>
        </is>
      </c>
    </row>
    <row r="41" ht="36" customHeight="1">
      <c r="A41" s="56" t="inlineStr">
        <is>
          <t>Thanh Hà Pottery Village</t>
        </is>
      </c>
      <c r="B41" s="57" t="inlineStr">
        <is>
          <t>Hoi An ~3 km W</t>
        </is>
      </c>
      <c r="C41" s="57" t="inlineStr">
        <is>
          <t>~40 min from My Khe</t>
        </is>
      </c>
      <c r="D41" s="3" t="inlineStr">
        <is>
          <t>400-yr-old pottery; try wheel 20k</t>
        </is>
      </c>
      <c r="E41" s="3" t="inlineStr">
        <is>
          <t>Day 3 detour</t>
        </is>
      </c>
      <c r="F41" s="58" t="inlineStr">
        <is>
          <t>☐</t>
        </is>
      </c>
    </row>
    <row r="42" ht="36" customHeight="1">
      <c r="A42" s="53" t="inlineStr">
        <is>
          <t>Phước Mỹ Catholic Church (Pink)</t>
        </is>
      </c>
      <c r="B42" s="54" t="inlineStr">
        <is>
          <t>~5 km W</t>
        </is>
      </c>
      <c r="C42" s="54" t="inlineStr">
        <is>
          <t>~14 min</t>
        </is>
      </c>
      <c r="D42" s="7" t="inlineStr">
        <is>
          <t>Pink colonial cathedral</t>
        </is>
      </c>
      <c r="E42" s="7" t="inlineStr">
        <is>
          <t>Pair w/ Cham Museum</t>
        </is>
      </c>
      <c r="F42" s="55" t="inlineStr">
        <is>
          <t>☐</t>
        </is>
      </c>
    </row>
    <row r="43" ht="36" customHeight="1">
      <c r="A43" s="56" t="inlineStr">
        <is>
          <t>APEC Park</t>
        </is>
      </c>
      <c r="B43" s="57" t="inlineStr">
        <is>
          <t>~5 km W</t>
        </is>
      </c>
      <c r="C43" s="57" t="inlineStr">
        <is>
          <t>~14 min</t>
        </is>
      </c>
      <c r="D43" s="3" t="inlineStr">
        <is>
          <t>Sunset sculpture park; free entry</t>
        </is>
      </c>
      <c r="E43" s="3" t="inlineStr">
        <is>
          <t>Day 1 alt sunset</t>
        </is>
      </c>
      <c r="F43" s="58" t="inlineStr">
        <is>
          <t>☐</t>
        </is>
      </c>
    </row>
    <row r="44" ht="36" customHeight="1">
      <c r="A44" s="53" t="inlineStr">
        <is>
          <t>Đông Hải fishing wharf at dawn</t>
        </is>
      </c>
      <c r="B44" s="54" t="inlineStr">
        <is>
          <t>~10 km N</t>
        </is>
      </c>
      <c r="C44" s="54" t="inlineStr">
        <is>
          <t>~18 min</t>
        </is>
      </c>
      <c r="D44" s="7" t="inlineStr">
        <is>
          <t>05:30 boats unload; photographer paradise</t>
        </is>
      </c>
      <c r="E44" s="7" t="inlineStr">
        <is>
          <t>Day 4 sunrise alt</t>
        </is>
      </c>
      <c r="F44" s="55" t="inlineStr">
        <is>
          <t>☐</t>
        </is>
      </c>
    </row>
    <row r="46" ht="20" customHeight="1">
      <c r="A46" s="52" t="inlineStr">
        <is>
          <t>WELLNESS (off-radar)</t>
        </is>
      </c>
    </row>
    <row r="47">
      <c r="A47" s="6" t="inlineStr">
        <is>
          <t>Place</t>
        </is>
      </c>
      <c r="B47" s="6" t="inlineStr">
        <is>
          <t>Distance from My Khe</t>
        </is>
      </c>
      <c r="C47" s="6" t="inlineStr">
        <is>
          <t>Travel time</t>
        </is>
      </c>
      <c r="D47" s="6" t="inlineStr">
        <is>
          <t>Why it stays quiet</t>
        </is>
      </c>
      <c r="E47" s="6" t="inlineStr">
        <is>
          <t>Notes / When</t>
        </is>
      </c>
      <c r="F47" s="6" t="inlineStr">
        <is>
          <t>Tried?</t>
        </is>
      </c>
    </row>
    <row r="48" ht="36" customHeight="1">
      <c r="A48" s="53" t="inlineStr">
        <is>
          <t>Charm Spa Grand</t>
        </is>
      </c>
      <c r="B48" s="54" t="inlineStr">
        <is>
          <t>My Khe</t>
        </is>
      </c>
      <c r="C48" s="54" t="inlineStr">
        <is>
          <t>walk</t>
        </is>
      </c>
      <c r="D48" s="7" t="inlineStr">
        <is>
          <t>High-end branch, less booked</t>
        </is>
      </c>
      <c r="E48" s="7" t="inlineStr">
        <is>
          <t>Spa backup</t>
        </is>
      </c>
      <c r="F48" s="55" t="inlineStr">
        <is>
          <t>☐</t>
        </is>
      </c>
    </row>
    <row r="49" ht="36" customHeight="1">
      <c r="A49" s="56" t="inlineStr">
        <is>
          <t>NumSpa Hoi An</t>
        </is>
      </c>
      <c r="B49" s="57" t="inlineStr">
        <is>
          <t>Hoi An</t>
        </is>
      </c>
      <c r="C49" s="57" t="inlineStr">
        <is>
          <t>~35 min</t>
        </is>
      </c>
      <c r="D49" s="3" t="inlineStr">
        <is>
          <t>Garden setting; if overnight Hoi An</t>
        </is>
      </c>
      <c r="E49" s="3" t="inlineStr">
        <is>
          <t>Hoi An option</t>
        </is>
      </c>
      <c r="F49" s="58" t="inlineStr">
        <is>
          <t>☐</t>
        </is>
      </c>
    </row>
    <row r="50" ht="36" customHeight="1">
      <c r="A50" s="53" t="inlineStr">
        <is>
          <t>Mikazuki Japanese Resort 365</t>
        </is>
      </c>
      <c r="B50" s="54" t="inlineStr">
        <is>
          <t>Xuan Thieu Beach ~14 km N</t>
        </is>
      </c>
      <c r="C50" s="54" t="inlineStr">
        <is>
          <t>~25 min</t>
        </is>
      </c>
      <c r="D50" s="7" t="inlineStr">
        <is>
          <t>Onsen + waterpark, less crowded than Ba Na</t>
        </is>
      </c>
      <c r="E50" s="7" t="inlineStr">
        <is>
          <t>Half-day swap</t>
        </is>
      </c>
      <c r="F50" s="55" t="inlineStr">
        <is>
          <t>☐</t>
        </is>
      </c>
    </row>
  </sheetData>
  <mergeCells count="8">
    <mergeCell ref="A38:F38"/>
    <mergeCell ref="A2:F2"/>
    <mergeCell ref="A30:F30"/>
    <mergeCell ref="A46:F46"/>
    <mergeCell ref="A14:F14"/>
    <mergeCell ref="A1:F1"/>
    <mergeCell ref="A4:F4"/>
    <mergeCell ref="A21:F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14" customWidth="1" min="3" max="3"/>
    <col width="16" customWidth="1" min="4" max="4"/>
    <col width="22" customWidth="1" min="5" max="5"/>
  </cols>
  <sheetData>
    <row r="1" ht="24" customHeight="1">
      <c r="A1" s="59" t="inlineStr">
        <is>
          <t>🗺️ Distance &amp; Travel-Time Reference Matrix (from My Khe Beach base)</t>
        </is>
      </c>
    </row>
    <row r="2" ht="32" customHeight="1">
      <c r="A2" s="60" t="inlineStr">
        <is>
          <t>Distances/times indicative for Grab car in typical traffic. Add 30–50% during 16:30–18:30 rush. Use Google Maps offline pack day-of for live estimates.</t>
        </is>
      </c>
    </row>
    <row r="4">
      <c r="A4" s="6" t="inlineStr">
        <is>
          <t>From</t>
        </is>
      </c>
      <c r="B4" s="6" t="inlineStr">
        <is>
          <t>To</t>
        </is>
      </c>
      <c r="C4" s="6" t="inlineStr">
        <is>
          <t>Distance (km)</t>
        </is>
      </c>
      <c r="D4" s="6" t="inlineStr">
        <is>
          <t>Travel time (min)</t>
        </is>
      </c>
      <c r="E4" s="6" t="inlineStr">
        <is>
          <t>Typical Grab fare (VND)</t>
        </is>
      </c>
    </row>
    <row r="5" ht="30" customHeight="1">
      <c r="A5" s="61" t="inlineStr">
        <is>
          <t>DAD Airport</t>
        </is>
      </c>
      <c r="B5" s="7" t="inlineStr">
        <is>
          <t>My Khe Beach hotels</t>
        </is>
      </c>
      <c r="C5" s="62" t="n">
        <v>6</v>
      </c>
      <c r="D5" s="63" t="n">
        <v>18</v>
      </c>
      <c r="E5" s="64" t="n">
        <v>150000</v>
      </c>
    </row>
    <row r="6" ht="30" customHeight="1">
      <c r="A6" s="65" t="inlineStr">
        <is>
          <t>My Khe Beach</t>
        </is>
      </c>
      <c r="B6" s="3" t="inlineStr">
        <is>
          <t>Dragon Bridge / Han River</t>
        </is>
      </c>
      <c r="C6" s="66" t="n">
        <v>3.2</v>
      </c>
      <c r="D6" s="67" t="n">
        <v>12</v>
      </c>
      <c r="E6" s="68" t="n">
        <v>80000</v>
      </c>
    </row>
    <row r="7">
      <c r="A7" s="61" t="inlineStr">
        <is>
          <t>My Khe Beach</t>
        </is>
      </c>
      <c r="B7" s="7" t="inlineStr">
        <is>
          <t>Han Market / Con Market</t>
        </is>
      </c>
      <c r="C7" s="62" t="n">
        <v>4</v>
      </c>
      <c r="D7" s="63" t="n">
        <v>14</v>
      </c>
      <c r="E7" s="64" t="n">
        <v>80000</v>
      </c>
    </row>
    <row r="8">
      <c r="A8" s="65" t="inlineStr">
        <is>
          <t>My Khe Beach</t>
        </is>
      </c>
      <c r="B8" s="3" t="inlineStr">
        <is>
          <t>Cham Museum / Pink Cathedral</t>
        </is>
      </c>
      <c r="C8" s="66" t="n">
        <v>5</v>
      </c>
      <c r="D8" s="67" t="n">
        <v>14</v>
      </c>
      <c r="E8" s="68" t="n">
        <v>90000</v>
      </c>
    </row>
    <row r="9" ht="30" customHeight="1">
      <c r="A9" s="61" t="inlineStr">
        <is>
          <t>My Khe Beach</t>
        </is>
      </c>
      <c r="B9" s="7" t="inlineStr">
        <is>
          <t>Ba Na Hills cable car station</t>
        </is>
      </c>
      <c r="C9" s="62" t="n">
        <v>36</v>
      </c>
      <c r="D9" s="63" t="n">
        <v>55</v>
      </c>
      <c r="E9" s="64" t="n">
        <v>600000</v>
      </c>
    </row>
    <row r="10">
      <c r="A10" s="65" t="inlineStr">
        <is>
          <t>My Khe Beach</t>
        </is>
      </c>
      <c r="B10" s="3" t="inlineStr">
        <is>
          <t>Marble Mountains</t>
        </is>
      </c>
      <c r="C10" s="66" t="n">
        <v>8</v>
      </c>
      <c r="D10" s="67" t="n">
        <v>17</v>
      </c>
      <c r="E10" s="68" t="n">
        <v>100000</v>
      </c>
    </row>
    <row r="11" ht="30" customHeight="1">
      <c r="A11" s="61" t="inlineStr">
        <is>
          <t>My Khe Beach</t>
        </is>
      </c>
      <c r="B11" s="7" t="inlineStr">
        <is>
          <t>Lady Buddha (Son Tra)</t>
        </is>
      </c>
      <c r="C11" s="62" t="n">
        <v>12</v>
      </c>
      <c r="D11" s="63" t="n">
        <v>22</v>
      </c>
      <c r="E11" s="64" t="n">
        <v>120000</v>
      </c>
    </row>
    <row r="12" ht="30" customHeight="1">
      <c r="A12" s="65" t="inlineStr">
        <is>
          <t>My Khe Beach</t>
        </is>
      </c>
      <c r="B12" s="3" t="inlineStr">
        <is>
          <t>Hoi An Old Town</t>
        </is>
      </c>
      <c r="C12" s="66" t="n">
        <v>30</v>
      </c>
      <c r="D12" s="67" t="n">
        <v>42</v>
      </c>
      <c r="E12" s="68" t="n">
        <v>300000</v>
      </c>
    </row>
    <row r="13" ht="30" customHeight="1">
      <c r="A13" s="61" t="inlineStr">
        <is>
          <t>My Khe Beach</t>
        </is>
      </c>
      <c r="B13" s="7" t="inlineStr">
        <is>
          <t>An Bàng Beach (Hoi An)</t>
        </is>
      </c>
      <c r="C13" s="62" t="n">
        <v>25</v>
      </c>
      <c r="D13" s="63" t="n">
        <v>35</v>
      </c>
      <c r="E13" s="64" t="n">
        <v>280000</v>
      </c>
    </row>
    <row r="14">
      <c r="A14" s="65" t="inlineStr">
        <is>
          <t>My Khe Beach</t>
        </is>
      </c>
      <c r="B14" s="3" t="inlineStr">
        <is>
          <t>Thanh Hà Pottery Village</t>
        </is>
      </c>
      <c r="C14" s="66" t="n">
        <v>28</v>
      </c>
      <c r="D14" s="67" t="n">
        <v>40</v>
      </c>
      <c r="E14" s="68" t="n">
        <v>280000</v>
      </c>
    </row>
    <row r="15" ht="30" customHeight="1">
      <c r="A15" s="61" t="inlineStr">
        <is>
          <t>My Khe Beach</t>
        </is>
      </c>
      <c r="B15" s="7" t="inlineStr">
        <is>
          <t>Hai Van Pass (top)</t>
        </is>
      </c>
      <c r="C15" s="62" t="n">
        <v>30</v>
      </c>
      <c r="D15" s="63" t="n">
        <v>60</v>
      </c>
      <c r="E15" s="64" t="n">
        <v>450000</v>
      </c>
    </row>
    <row r="16" ht="30" customHeight="1">
      <c r="A16" s="65" t="inlineStr">
        <is>
          <t>My Khe Beach</t>
        </is>
      </c>
      <c r="B16" s="3" t="inlineStr">
        <is>
          <t>Lăng Cô Beach (via tunnel)</t>
        </is>
      </c>
      <c r="C16" s="66" t="n">
        <v>35</v>
      </c>
      <c r="D16" s="67" t="n">
        <v>70</v>
      </c>
      <c r="E16" s="68" t="n">
        <v>500000</v>
      </c>
    </row>
    <row r="17" ht="30" customHeight="1">
      <c r="A17" s="61" t="inlineStr">
        <is>
          <t>My Khe Beach</t>
        </is>
      </c>
      <c r="B17" s="7" t="inlineStr">
        <is>
          <t>Lăng Cô (via Pass)</t>
        </is>
      </c>
      <c r="C17" s="62" t="n">
        <v>42</v>
      </c>
      <c r="D17" s="63" t="n">
        <v>95</v>
      </c>
      <c r="E17" s="64" t="n">
        <v>600000</v>
      </c>
    </row>
    <row r="18" ht="30" customHeight="1">
      <c r="A18" s="65" t="inlineStr">
        <is>
          <t>My Khe Beach</t>
        </is>
      </c>
      <c r="B18" s="3" t="inlineStr">
        <is>
          <t>Mỹ Sơn Sanctuary</t>
        </is>
      </c>
      <c r="C18" s="66" t="n">
        <v>50</v>
      </c>
      <c r="D18" s="67" t="n">
        <v>75</v>
      </c>
      <c r="E18" s="68" t="n">
        <v>600000</v>
      </c>
    </row>
    <row r="19" ht="30" customHeight="1">
      <c r="A19" s="61" t="inlineStr">
        <is>
          <t>My Khe Beach</t>
        </is>
      </c>
      <c r="B19" s="7" t="inlineStr">
        <is>
          <t>Bạch Mã National Park HQ</t>
        </is>
      </c>
      <c r="C19" s="62" t="n">
        <v>70</v>
      </c>
      <c r="D19" s="63" t="n">
        <v>90</v>
      </c>
      <c r="E19" s="64" t="n">
        <v>800000</v>
      </c>
    </row>
    <row r="20">
      <c r="A20" s="65" t="inlineStr">
        <is>
          <t>My Khe Beach</t>
        </is>
      </c>
      <c r="B20" s="3" t="inlineStr">
        <is>
          <t>Nam Ô Beach + village</t>
        </is>
      </c>
      <c r="C20" s="66" t="n">
        <v>14</v>
      </c>
      <c r="D20" s="67" t="n">
        <v>25</v>
      </c>
      <c r="E20" s="68" t="n">
        <v>180000</v>
      </c>
    </row>
    <row r="21">
      <c r="A21" s="61" t="inlineStr">
        <is>
          <t>My Khe Beach</t>
        </is>
      </c>
      <c r="B21" s="7" t="inlineStr">
        <is>
          <t>Núi Thần Tài Hot Springs</t>
        </is>
      </c>
      <c r="C21" s="62" t="n">
        <v>35</v>
      </c>
      <c r="D21" s="63" t="n">
        <v>45</v>
      </c>
      <c r="E21" s="64" t="n">
        <v>450000</v>
      </c>
    </row>
    <row r="22" ht="30" customHeight="1">
      <c r="A22" s="65" t="inlineStr">
        <is>
          <t>My Khe Beach</t>
        </is>
      </c>
      <c r="B22" s="3" t="inlineStr">
        <is>
          <t>Mikazuki Onsen 365</t>
        </is>
      </c>
      <c r="C22" s="66" t="n">
        <v>14</v>
      </c>
      <c r="D22" s="67" t="n">
        <v>25</v>
      </c>
      <c r="E22" s="68" t="n">
        <v>180000</v>
      </c>
    </row>
    <row r="23" ht="30" customHeight="1">
      <c r="A23" s="61" t="inlineStr">
        <is>
          <t>Marble Mountains</t>
        </is>
      </c>
      <c r="B23" s="7" t="inlineStr">
        <is>
          <t>Hoi An Old Town</t>
        </is>
      </c>
      <c r="C23" s="62" t="n">
        <v>22</v>
      </c>
      <c r="D23" s="63" t="n">
        <v>35</v>
      </c>
      <c r="E23" s="64" t="n">
        <v>250000</v>
      </c>
    </row>
    <row r="24" ht="30" customHeight="1">
      <c r="A24" s="65" t="inlineStr">
        <is>
          <t>Hai Van Pass top</t>
        </is>
      </c>
      <c r="B24" s="3" t="inlineStr">
        <is>
          <t>Lăng Cô Beach</t>
        </is>
      </c>
      <c r="C24" s="66" t="n">
        <v>12</v>
      </c>
      <c r="D24" s="67" t="n">
        <v>30</v>
      </c>
      <c r="E24" s="68" t="n">
        <v>200000</v>
      </c>
    </row>
    <row r="25" ht="30" customHeight="1">
      <c r="A25" s="61" t="inlineStr">
        <is>
          <t>Hoi An Old Town</t>
        </is>
      </c>
      <c r="B25" s="7" t="inlineStr">
        <is>
          <t>An Bàng Beach</t>
        </is>
      </c>
      <c r="C25" s="62" t="n">
        <v>3</v>
      </c>
      <c r="D25" s="63" t="n">
        <v>10</v>
      </c>
      <c r="E25" s="64" t="n">
        <v>60000</v>
      </c>
    </row>
    <row r="26">
      <c r="A26" s="65" t="inlineStr">
        <is>
          <t>Hoi An Old Town</t>
        </is>
      </c>
      <c r="B26" s="3" t="inlineStr">
        <is>
          <t>Thanh Hà Pottery</t>
        </is>
      </c>
      <c r="C26" s="66" t="n">
        <v>3</v>
      </c>
      <c r="D26" s="67" t="n">
        <v>15</v>
      </c>
      <c r="E26" s="68" t="n">
        <v>60000</v>
      </c>
    </row>
    <row r="27" ht="30" customHeight="1">
      <c r="A27" s="61" t="inlineStr">
        <is>
          <t>Hoi An Old Town</t>
        </is>
      </c>
      <c r="B27" s="7" t="inlineStr">
        <is>
          <t>Cửa Đại / Cù Lao Chàm pier</t>
        </is>
      </c>
      <c r="C27" s="62" t="n">
        <v>5</v>
      </c>
      <c r="D27" s="63" t="n">
        <v>15</v>
      </c>
      <c r="E27" s="64" t="n">
        <v>80000</v>
      </c>
    </row>
    <row r="28" ht="30" customHeight="1">
      <c r="A28" s="65" t="inlineStr">
        <is>
          <t>My Khe Beach</t>
        </is>
      </c>
      <c r="B28" s="3" t="inlineStr">
        <is>
          <t>DAD Airport (return)</t>
        </is>
      </c>
      <c r="C28" s="66" t="n">
        <v>6</v>
      </c>
      <c r="D28" s="67" t="n">
        <v>18</v>
      </c>
      <c r="E28" s="68" t="n">
        <v>150000</v>
      </c>
    </row>
    <row r="30">
      <c r="A30" s="69" t="inlineStr">
        <is>
          <t>📝 Grab fare tips</t>
        </is>
      </c>
    </row>
    <row r="31" ht="22" customHeight="1">
      <c r="A31" s="3" t="inlineStr">
        <is>
          <t>• GrabCar Economy ~10–15% cheaper than GrabCar 4-seater for solo travel</t>
        </is>
      </c>
    </row>
    <row r="32" ht="22" customHeight="1">
      <c r="A32" s="7" t="inlineStr">
        <is>
          <t>• Long-distance one-way (Hai Van, Bạch Mã) — driver rarely accepts return fare → book day-rate via hotel ~800k–1.2M VND for 8hr</t>
        </is>
      </c>
    </row>
    <row r="33" ht="22" customHeight="1">
      <c r="A33" s="3" t="inlineStr">
        <is>
          <t>• Surge during 16:30–18:30 rush + heavy rain (+25–60%)</t>
        </is>
      </c>
    </row>
    <row r="34" ht="22" customHeight="1">
      <c r="A34" s="7" t="inlineStr">
        <is>
          <t>• Pay in cash OR linked card (SG/PH card works); always check tier in app</t>
        </is>
      </c>
    </row>
    <row r="35" ht="22" customHeight="1">
      <c r="A35" s="3" t="inlineStr">
        <is>
          <t>• Tip 5–10% via app or rounded-up cash, never expected</t>
        </is>
      </c>
    </row>
    <row r="36" ht="22" customHeight="1">
      <c r="A36" s="7" t="inlineStr">
        <is>
          <t>• Always set destination in Vietnamese in-app to avoid confusion (Vietnamese keyboard input)</t>
        </is>
      </c>
    </row>
  </sheetData>
  <mergeCells count="9">
    <mergeCell ref="A30:E30"/>
    <mergeCell ref="A34:E34"/>
    <mergeCell ref="A35:E35"/>
    <mergeCell ref="A2:E2"/>
    <mergeCell ref="A33:E33"/>
    <mergeCell ref="A1:E1"/>
    <mergeCell ref="A32:E32"/>
    <mergeCell ref="A36:E36"/>
    <mergeCell ref="A31:E3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8" customWidth="1" min="3" max="3"/>
    <col width="38" customWidth="1" min="4" max="4"/>
  </cols>
  <sheetData>
    <row r="1" ht="24" customHeight="1">
      <c r="A1" s="59" t="inlineStr">
        <is>
          <t>⚖️ v1 Standard vs v2 Relaxed Less-Touristy</t>
        </is>
      </c>
    </row>
    <row r="3">
      <c r="A3" s="6" t="inlineStr">
        <is>
          <t>Item</t>
        </is>
      </c>
      <c r="B3" s="6" t="inlineStr">
        <is>
          <t>v1 — Standard</t>
        </is>
      </c>
      <c r="C3" s="6" t="inlineStr">
        <is>
          <t>v2 — Relaxed Less-Touristy</t>
        </is>
      </c>
      <c r="D3" s="6" t="inlineStr">
        <is>
          <t>Why change</t>
        </is>
      </c>
    </row>
    <row r="4" ht="44" customHeight="1">
      <c r="A4" s="61" t="inlineStr">
        <is>
          <t>Day 1 PM</t>
        </is>
      </c>
      <c r="B4" s="7" t="inlineStr">
        <is>
          <t>Spa 15:00</t>
        </is>
      </c>
      <c r="C4" s="7" t="inlineStr">
        <is>
          <t>Pool/beach 3hr + 43 Factory café</t>
        </is>
      </c>
      <c r="D4" s="7" t="inlineStr">
        <is>
          <t>Acclimate climate; spa moved to Day 4 long session</t>
        </is>
      </c>
    </row>
    <row r="5" ht="44" customHeight="1">
      <c r="A5" s="65" t="inlineStr">
        <is>
          <t>Day 2</t>
        </is>
      </c>
      <c r="B5" s="3" t="inlineStr">
        <is>
          <t>Ba Na full day + Pub Crawl</t>
        </is>
      </c>
      <c r="C5" s="3" t="inlineStr">
        <is>
          <t>Hai Van Pass + Lăng Cô + crawl optional</t>
        </is>
      </c>
      <c r="D5" s="3" t="inlineStr">
        <is>
          <t>Bus-tour zoo vs legendary empty pass</t>
        </is>
      </c>
    </row>
    <row r="6" ht="44" customHeight="1">
      <c r="A6" s="61" t="inlineStr">
        <is>
          <t>Day 3</t>
        </is>
      </c>
      <c r="B6" s="7" t="inlineStr">
        <is>
          <t>Marble + Hoi An same day (back 21:30)</t>
        </is>
      </c>
      <c r="C6" s="7" t="inlineStr">
        <is>
          <t>Hoi An ONLY w/ An Bàng Beach</t>
        </is>
      </c>
      <c r="D6" s="7" t="inlineStr">
        <is>
          <t>Splits over-packed combo</t>
        </is>
      </c>
    </row>
    <row r="7" ht="44" customHeight="1">
      <c r="A7" s="65" t="inlineStr">
        <is>
          <t>Day 4</t>
        </is>
      </c>
      <c r="B7" s="3" t="inlineStr">
        <is>
          <t>Son Tra 09:30 + Spa 15:00</t>
        </is>
      </c>
      <c r="C7" s="3" t="inlineStr">
        <is>
          <t>Sunrise Son Tra 05:30 + Marble 11:15 + 150-min spa 16:00</t>
        </is>
      </c>
      <c r="D7" s="3" t="inlineStr">
        <is>
          <t>Empty pagoda, monkeys active, single long spa</t>
        </is>
      </c>
    </row>
    <row r="8" ht="44" customHeight="1">
      <c r="A8" s="61" t="inlineStr">
        <is>
          <t>Day 5</t>
        </is>
      </c>
      <c r="B8" s="7" t="inlineStr">
        <is>
          <t>Cộng + Phở + airport</t>
        </is>
      </c>
      <c r="C8" s="7" t="inlineStr">
        <is>
          <t>Cộng + Cham Museum + Pink Cathedral + Phở + airport</t>
        </is>
      </c>
      <c r="D8" s="7" t="inlineStr">
        <is>
          <t>Cultural anchor w/ AC pre-flight</t>
        </is>
      </c>
    </row>
    <row r="9" ht="44" customHeight="1">
      <c r="A9" s="65" t="inlineStr">
        <is>
          <t>Total spa time</t>
        </is>
      </c>
      <c r="B9" s="3" t="inlineStr">
        <is>
          <t>90 + 120 = 210 min</t>
        </is>
      </c>
      <c r="C9" s="3" t="inlineStr">
        <is>
          <t>150 min single session</t>
        </is>
      </c>
      <c r="D9" s="3" t="inlineStr">
        <is>
          <t>Quality &gt; quantity</t>
        </is>
      </c>
    </row>
    <row r="10" ht="44" customHeight="1">
      <c r="A10" s="61" t="inlineStr">
        <is>
          <t>Avg daily transit km</t>
        </is>
      </c>
      <c r="B10" s="7" t="inlineStr">
        <is>
          <t>~60 km</t>
        </is>
      </c>
      <c r="C10" s="7" t="inlineStr">
        <is>
          <t>~50 km</t>
        </is>
      </c>
      <c r="D10" s="7" t="inlineStr">
        <is>
          <t>v2 cuts long drives + adds rest blocks</t>
        </is>
      </c>
    </row>
    <row r="11" ht="44" customHeight="1">
      <c r="A11" s="65" t="inlineStr">
        <is>
          <t>Crowd exposure</t>
        </is>
      </c>
      <c r="B11" s="3" t="inlineStr">
        <is>
          <t>High (Ba Na peak + Hoi An tourist core)</t>
        </is>
      </c>
      <c r="C11" s="3" t="inlineStr">
        <is>
          <t>Low (Hai Van empty + dawn Son Tra + An Bàng + Bé Mặn)</t>
        </is>
      </c>
      <c r="D11" s="3" t="inlineStr">
        <is>
          <t>v2 avoids tour-bus circuits</t>
        </is>
      </c>
    </row>
    <row r="12" ht="44" customHeight="1">
      <c r="A12" s="61" t="inlineStr">
        <is>
          <t>Activity cost per pax</t>
        </is>
      </c>
      <c r="B12" s="7" t="inlineStr">
        <is>
          <t>Ba Na 1.05M</t>
        </is>
      </c>
      <c r="C12" s="7" t="inlineStr">
        <is>
          <t>Hai Van driver 1.2M ÷ 2 pax = 600k</t>
        </is>
      </c>
      <c r="D12" s="7" t="inlineStr">
        <is>
          <t>Roughly even split 2 pax</t>
        </is>
      </c>
    </row>
    <row r="13" ht="44" customHeight="1">
      <c r="A13" s="65" t="inlineStr">
        <is>
          <t>Nightlife</t>
        </is>
      </c>
      <c r="B13" s="3" t="inlineStr">
        <is>
          <t>Mandatory Sat crawl</t>
        </is>
      </c>
      <c r="C13" s="3" t="inlineStr">
        <is>
          <t>Optional crawl OR hotel rooftop</t>
        </is>
      </c>
      <c r="D13" s="3" t="inlineStr">
        <is>
          <t>Free weather/energy pivot</t>
        </is>
      </c>
    </row>
    <row r="14" ht="44" customHeight="1">
      <c r="A14" s="61" t="inlineStr">
        <is>
          <t>Active hours/day</t>
        </is>
      </c>
      <c r="B14" s="7" t="inlineStr">
        <is>
          <t>13–14 hr</t>
        </is>
      </c>
      <c r="C14" s="7" t="inlineStr">
        <is>
          <t>11–12 hr w/ 2× rest blocks</t>
        </is>
      </c>
      <c r="D14" s="7" t="inlineStr">
        <is>
          <t>Pace for couples/leisure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3" customWidth="1" min="3" max="3"/>
    <col width="12" customWidth="1" min="4" max="4"/>
    <col width="50" customWidth="1" min="5" max="5"/>
    <col width="8" customWidth="1" min="6" max="6"/>
    <col width="16" customWidth="1" min="7" max="7"/>
  </cols>
  <sheetData>
    <row r="1" ht="24" customHeight="1">
      <c r="A1" s="70" t="inlineStr">
        <is>
          <t>💵 Activity Pricing — Klook / Pelago / Gate / Private Hire</t>
        </is>
      </c>
    </row>
    <row r="2" ht="50" customHeight="1">
      <c r="A2" s="60" t="inlineStr">
        <is>
          <t>⚠️ READ FIRST: For bundled activities (Ba Na, Hai Van) PICK ONE PATH only — do NOT add rows. Klook GROUP DAY TOURS bundle transport + ticket + lunch in ONE price. Mixing rows = double-counting. Per pax unless noted. PER CAR rows split across travellers. Re-verify 2 weeks pre-travel. SGD auto-calc at 18,500 VND/SGD baseline.</t>
        </is>
      </c>
    </row>
    <row r="4" ht="20" customHeight="1">
      <c r="A4" s="71" t="inlineStr">
        <is>
          <t>🎡 BA NA HILLS — PICK ONE BUNDLE (do NOT add rows together)</t>
        </is>
      </c>
    </row>
    <row r="5">
      <c r="A5" s="6" t="inlineStr">
        <is>
          <t>Item</t>
        </is>
      </c>
      <c r="B5" s="6" t="inlineStr">
        <is>
          <t>Channel</t>
        </is>
      </c>
      <c r="C5" s="6" t="inlineStr">
        <is>
          <t>VND</t>
        </is>
      </c>
      <c r="D5" s="6" t="inlineStr">
        <is>
          <t>SGD (≈)</t>
        </is>
      </c>
      <c r="E5" s="6" t="inlineStr">
        <is>
          <t>Includes / notes</t>
        </is>
      </c>
      <c r="F5" s="6" t="inlineStr">
        <is>
          <t>Booked?</t>
        </is>
      </c>
      <c r="G5" s="6" t="inlineStr">
        <is>
          <t>Confirmed price</t>
        </is>
      </c>
    </row>
    <row r="6" ht="28" customHeight="1">
      <c r="A6" s="61" t="inlineStr">
        <is>
          <t>PATH 1 — Klook GROUP DAY TOUR (cheapest)</t>
        </is>
      </c>
      <c r="B6" s="54" t="inlineStr">
        <is>
          <t>Klook shared bus pkg</t>
        </is>
      </c>
      <c r="C6" s="72" t="n">
        <v>1200000</v>
      </c>
      <c r="D6" s="73">
        <f>C6/18500</f>
        <v/>
      </c>
      <c r="E6" s="7" t="inlineStr">
        <is>
          <t>ALL-IN PER PAX: RT shuttle from DN hotel + cable car + Golden Bridge + French Village + buffet lunch + English guide. 1.1M–1.4M depending on date. Cheapest path; ~8hr group of 15–25.</t>
        </is>
      </c>
      <c r="F6" s="13" t="inlineStr">
        <is>
          <t>☐</t>
        </is>
      </c>
      <c r="G6" s="13" t="inlineStr"/>
    </row>
    <row r="7" ht="28" customHeight="1">
      <c r="A7" s="65" t="inlineStr">
        <is>
          <t>PATH 2 — Klook VIP private car + cable car</t>
        </is>
      </c>
      <c r="B7" s="57" t="inlineStr">
        <is>
          <t>Klook private bundle</t>
        </is>
      </c>
      <c r="C7" s="74" t="n">
        <v>1800000</v>
      </c>
      <c r="D7" s="75">
        <f>C7/18500</f>
        <v/>
      </c>
      <c r="E7" s="3" t="inlineStr">
        <is>
          <t>ALL-IN PER PAX (2 pax) or PER CAR (3–4 pax) split: Private car + English driver + cable car ticket + Golden Bridge. Lunch usually NOT incl (+350k). 1.6M–2M.</t>
        </is>
      </c>
      <c r="F7" s="18" t="inlineStr">
        <is>
          <t>☐</t>
        </is>
      </c>
      <c r="G7" s="18" t="inlineStr"/>
    </row>
    <row r="8" ht="28" customHeight="1">
      <c r="A8" s="61" t="inlineStr">
        <is>
          <t>PATH 3 — Private Grab day-rate + Klook ticket</t>
        </is>
      </c>
      <c r="B8" s="54" t="inlineStr">
        <is>
          <t>self-assembled</t>
        </is>
      </c>
      <c r="C8" s="72" t="n">
        <v>1750000</v>
      </c>
      <c r="D8" s="73">
        <f>C8/18500</f>
        <v/>
      </c>
      <c r="E8" s="7" t="inlineStr">
        <is>
          <t>PER PAX (split 2): Grab/concierge car 1.6M ÷ 2 = 800k + Klook cable car 950k = 1.75M. Lunch +350k. Most flexible timing.</t>
        </is>
      </c>
      <c r="F8" s="13" t="inlineStr">
        <is>
          <t>☐</t>
        </is>
      </c>
      <c r="G8" s="13" t="inlineStr"/>
    </row>
    <row r="9" ht="28" customHeight="1">
      <c r="A9" s="65" t="inlineStr">
        <is>
          <t>PATH 4 — Cable car ticket only (gate)</t>
        </is>
      </c>
      <c r="B9" s="57" t="inlineStr">
        <is>
          <t>Sun World gate</t>
        </is>
      </c>
      <c r="C9" s="74" t="n">
        <v>1050000</v>
      </c>
      <c r="D9" s="75">
        <f>C9/18500</f>
        <v/>
      </c>
      <c r="E9" s="3" t="inlineStr">
        <is>
          <t>TICKET ONLY: 1.05M adult gate (or Klook ~920k). NO transport. Add Grab RT ~1.2M/car or shuttle 250k pp.</t>
        </is>
      </c>
      <c r="F9" s="18" t="inlineStr">
        <is>
          <t>☐</t>
        </is>
      </c>
      <c r="G9" s="18" t="inlineStr"/>
    </row>
    <row r="10" ht="28" customHeight="1">
      <c r="A10" s="61" t="inlineStr">
        <is>
          <t>Optional: Alpine Coaster (extra)</t>
        </is>
      </c>
      <c r="B10" s="54" t="inlineStr">
        <is>
          <t>on-site</t>
        </is>
      </c>
      <c r="C10" s="72" t="n">
        <v>200000</v>
      </c>
      <c r="D10" s="73">
        <f>C10/18500</f>
        <v/>
      </c>
      <c r="E10" s="7" t="inlineStr">
        <is>
          <t>Single ride; 2 rides 350k</t>
        </is>
      </c>
      <c r="F10" s="13" t="inlineStr">
        <is>
          <t>☐</t>
        </is>
      </c>
      <c r="G10" s="13" t="inlineStr"/>
    </row>
    <row r="11" ht="28" customHeight="1">
      <c r="A11" s="65" t="inlineStr">
        <is>
          <t>Optional: Fantasy Park full access</t>
        </is>
      </c>
      <c r="B11" s="57" t="inlineStr">
        <is>
          <t>on-site</t>
        </is>
      </c>
      <c r="C11" s="74" t="n">
        <v>350000</v>
      </c>
      <c r="D11" s="75">
        <f>C11/18500</f>
        <v/>
      </c>
      <c r="E11" s="3" t="inlineStr">
        <is>
          <t>Indoor games; rain backup</t>
        </is>
      </c>
      <c r="F11" s="18" t="inlineStr">
        <is>
          <t>☐</t>
        </is>
      </c>
      <c r="G11" s="18" t="inlineStr"/>
    </row>
    <row r="12" ht="28" customHeight="1">
      <c r="A12" s="61" t="inlineStr">
        <is>
          <t>Optional: Debay Wine Cellar tasting</t>
        </is>
      </c>
      <c r="B12" s="54" t="inlineStr">
        <is>
          <t>on-site</t>
        </is>
      </c>
      <c r="C12" s="72" t="n">
        <v>50000</v>
      </c>
      <c r="D12" s="73">
        <f>C12/18500</f>
        <v/>
      </c>
      <c r="E12" s="7" t="inlineStr"/>
      <c r="F12" s="13" t="inlineStr">
        <is>
          <t>☐</t>
        </is>
      </c>
      <c r="G12" s="13" t="inlineStr"/>
    </row>
    <row r="13" ht="28" customHeight="1">
      <c r="A13" s="65" t="inlineStr">
        <is>
          <t>Optional: Buffet lunch (if path doesnt include)</t>
        </is>
      </c>
      <c r="B13" s="57" t="inlineStr">
        <is>
          <t>on-site</t>
        </is>
      </c>
      <c r="C13" s="74" t="n">
        <v>350000</v>
      </c>
      <c r="D13" s="75">
        <f>C13/18500</f>
        <v/>
      </c>
      <c r="E13" s="3" t="inlineStr">
        <is>
          <t>Per pax all-you-can-eat</t>
        </is>
      </c>
      <c r="F13" s="18" t="inlineStr">
        <is>
          <t>☐</t>
        </is>
      </c>
      <c r="G13" s="18" t="inlineStr"/>
    </row>
    <row r="14" ht="28" customHeight="1">
      <c r="A14" s="61" t="inlineStr">
        <is>
          <t>Child (1.0–1.4m height) cable car</t>
        </is>
      </c>
      <c r="B14" s="54" t="inlineStr">
        <is>
          <t>gate</t>
        </is>
      </c>
      <c r="C14" s="72" t="n">
        <v>850000</v>
      </c>
      <c r="D14" s="73">
        <f>C14/18500</f>
        <v/>
      </c>
      <c r="E14" s="7" t="inlineStr">
        <is>
          <t>Under 1.0m FREE</t>
        </is>
      </c>
      <c r="F14" s="13" t="inlineStr">
        <is>
          <t>☐</t>
        </is>
      </c>
      <c r="G14" s="13" t="inlineStr"/>
    </row>
    <row r="16" ht="20" customHeight="1">
      <c r="A16" s="71" t="inlineStr">
        <is>
          <t>🌄 HAI VAN PASS + LĂNG CÔ — PICK ONE BUNDLE</t>
        </is>
      </c>
    </row>
    <row r="17">
      <c r="A17" s="6" t="inlineStr">
        <is>
          <t>Item</t>
        </is>
      </c>
      <c r="B17" s="6" t="inlineStr">
        <is>
          <t>Channel</t>
        </is>
      </c>
      <c r="C17" s="6" t="inlineStr">
        <is>
          <t>VND</t>
        </is>
      </c>
      <c r="D17" s="6" t="inlineStr">
        <is>
          <t>SGD (≈)</t>
        </is>
      </c>
      <c r="E17" s="6" t="inlineStr">
        <is>
          <t>Includes / notes</t>
        </is>
      </c>
      <c r="F17" s="6" t="inlineStr">
        <is>
          <t>Booked?</t>
        </is>
      </c>
      <c r="G17" s="6" t="inlineStr">
        <is>
          <t>Confirmed price</t>
        </is>
      </c>
    </row>
    <row r="18" ht="28" customHeight="1">
      <c r="A18" s="61" t="inlineStr">
        <is>
          <t>PATH 1 — Klook GROUP DAY TOUR</t>
        </is>
      </c>
      <c r="B18" s="54" t="inlineStr">
        <is>
          <t>Klook shared van</t>
        </is>
      </c>
      <c r="C18" s="72" t="n">
        <v>800000</v>
      </c>
      <c r="D18" s="73">
        <f>C18/18500</f>
        <v/>
      </c>
      <c r="E18" s="7" t="inlineStr">
        <is>
          <t>ALL-IN PER PAX: van + English guide + Hai Van + Lăng Cô + sometimes lunch. 700k–900k. Cheapest, group of 12–16, ~8hr.</t>
        </is>
      </c>
      <c r="F18" s="13" t="inlineStr">
        <is>
          <t>☐</t>
        </is>
      </c>
      <c r="G18" s="13" t="inlineStr"/>
    </row>
    <row r="19" ht="28" customHeight="1">
      <c r="A19" s="65" t="inlineStr">
        <is>
          <t>PATH 2 — Klook PRIVATE car w/ English driver</t>
        </is>
      </c>
      <c r="B19" s="57" t="inlineStr">
        <is>
          <t>Klook private</t>
        </is>
      </c>
      <c r="C19" s="74" t="n">
        <v>1800000</v>
      </c>
      <c r="D19" s="75">
        <f>C19/18500</f>
        <v/>
      </c>
      <c r="E19" s="3" t="inlineStr">
        <is>
          <t>PER CAR 8hr (split 2 pax = 900k pp; split 4 = 450k pp). Customizable stops, no group pace.</t>
        </is>
      </c>
      <c r="F19" s="18" t="inlineStr">
        <is>
          <t>☐</t>
        </is>
      </c>
      <c r="G19" s="18" t="inlineStr"/>
    </row>
    <row r="20" ht="28" customHeight="1">
      <c r="A20" s="61" t="inlineStr">
        <is>
          <t>PATH 3 — Hotel concierge private car</t>
        </is>
      </c>
      <c r="B20" s="54" t="inlineStr">
        <is>
          <t>concierge</t>
        </is>
      </c>
      <c r="C20" s="72" t="n">
        <v>1400000</v>
      </c>
      <c r="D20" s="73">
        <f>C20/18500</f>
        <v/>
      </c>
      <c r="E20" s="7" t="inlineStr">
        <is>
          <t>PER CAR 8hr Vietnamese driver (English +200k). Cheapest private; split 2 = 700k pp.</t>
        </is>
      </c>
      <c r="F20" s="13" t="inlineStr">
        <is>
          <t>☐</t>
        </is>
      </c>
      <c r="G20" s="13" t="inlineStr"/>
    </row>
    <row r="21" ht="28" customHeight="1">
      <c r="A21" s="65" t="inlineStr">
        <is>
          <t>PATH 4 — Easy Riders motorbike day-tour</t>
        </is>
      </c>
      <c r="B21" s="57" t="inlineStr">
        <is>
          <t>Easy Rider DN</t>
        </is>
      </c>
      <c r="C21" s="74" t="n">
        <v>1100000</v>
      </c>
      <c r="D21" s="75">
        <f>C21/18500</f>
        <v/>
      </c>
      <c r="E21" s="3" t="inlineStr">
        <is>
          <t>PER PAX pillion incl helmet + raincoat. Thrill option, not for nervous riders. 8–10hr.</t>
        </is>
      </c>
      <c r="F21" s="18" t="inlineStr">
        <is>
          <t>☐</t>
        </is>
      </c>
      <c r="G21" s="18" t="inlineStr"/>
    </row>
    <row r="22" ht="28" customHeight="1">
      <c r="A22" s="61" t="inlineStr">
        <is>
          <t>PATH 5 — Premium private (sedan + guide)</t>
        </is>
      </c>
      <c r="B22" s="54" t="inlineStr">
        <is>
          <t>Klook / Viator</t>
        </is>
      </c>
      <c r="C22" s="72" t="n">
        <v>2200000</v>
      </c>
      <c r="D22" s="73">
        <f>C22/18500</f>
        <v/>
      </c>
      <c r="E22" s="7" t="inlineStr">
        <is>
          <t>PER CAR; English guide, multiple stops, photographer-friendly.</t>
        </is>
      </c>
      <c r="F22" s="13" t="inlineStr">
        <is>
          <t>☐</t>
        </is>
      </c>
      <c r="G22" s="13" t="inlineStr"/>
    </row>
    <row r="23" ht="28" customHeight="1">
      <c r="A23" s="65" t="inlineStr">
        <is>
          <t>Hai Van Tunnel toll (one-way car)</t>
        </is>
      </c>
      <c r="B23" s="57" t="inlineStr">
        <is>
          <t>auto-paid by driver</t>
        </is>
      </c>
      <c r="C23" s="74" t="n">
        <v>110000</v>
      </c>
      <c r="D23" s="75">
        <f>C23/18500</f>
        <v/>
      </c>
      <c r="E23" s="3" t="inlineStr">
        <is>
          <t>Already in private hire fare</t>
        </is>
      </c>
      <c r="F23" s="18" t="inlineStr">
        <is>
          <t>☐</t>
        </is>
      </c>
      <c r="G23" s="18" t="inlineStr"/>
    </row>
    <row r="24" ht="28" customHeight="1">
      <c r="A24" s="61" t="inlineStr">
        <is>
          <t>Seafood lunch at Lăng Cô</t>
        </is>
      </c>
      <c r="B24" s="54" t="inlineStr">
        <is>
          <t>restaurant</t>
        </is>
      </c>
      <c r="C24" s="72" t="n">
        <v>400000</v>
      </c>
      <c r="D24" s="73">
        <f>C24/18500</f>
        <v/>
      </c>
      <c r="E24" s="7" t="inlineStr">
        <is>
          <t>Per pax mid; whole fish 300k, prawns 250k/kg</t>
        </is>
      </c>
      <c r="F24" s="13" t="inlineStr">
        <is>
          <t>☐</t>
        </is>
      </c>
      <c r="G24" s="13" t="inlineStr"/>
    </row>
    <row r="25" ht="28" customHeight="1">
      <c r="A25" s="65" t="inlineStr">
        <is>
          <t>Egg coffee at pass viewpoint</t>
        </is>
      </c>
      <c r="B25" s="57" t="inlineStr">
        <is>
          <t>café</t>
        </is>
      </c>
      <c r="C25" s="74" t="n">
        <v>40000</v>
      </c>
      <c r="D25" s="75">
        <f>C25/18500</f>
        <v/>
      </c>
      <c r="E25" s="3" t="inlineStr"/>
      <c r="F25" s="18" t="inlineStr">
        <is>
          <t>☐</t>
        </is>
      </c>
      <c r="G25" s="18" t="inlineStr"/>
    </row>
    <row r="26" ht="28" customHeight="1">
      <c r="A26" s="61" t="inlineStr">
        <is>
          <t>Beach lounger Lăng Cô</t>
        </is>
      </c>
      <c r="B26" s="54" t="inlineStr">
        <is>
          <t>on-site</t>
        </is>
      </c>
      <c r="C26" s="72" t="n">
        <v>50000</v>
      </c>
      <c r="D26" s="73">
        <f>C26/18500</f>
        <v/>
      </c>
      <c r="E26" s="7" t="inlineStr">
        <is>
          <t>Optional</t>
        </is>
      </c>
      <c r="F26" s="13" t="inlineStr">
        <is>
          <t>☐</t>
        </is>
      </c>
      <c r="G26" s="13" t="inlineStr"/>
    </row>
    <row r="28" ht="20" customHeight="1">
      <c r="A28" s="71" t="inlineStr">
        <is>
          <t>🏛️ HOI AN (Day 3)</t>
        </is>
      </c>
    </row>
    <row r="29">
      <c r="A29" s="6" t="inlineStr">
        <is>
          <t>Item</t>
        </is>
      </c>
      <c r="B29" s="6" t="inlineStr">
        <is>
          <t>Channel</t>
        </is>
      </c>
      <c r="C29" s="6" t="inlineStr">
        <is>
          <t>VND</t>
        </is>
      </c>
      <c r="D29" s="6" t="inlineStr">
        <is>
          <t>SGD (≈)</t>
        </is>
      </c>
      <c r="E29" s="6" t="inlineStr">
        <is>
          <t>Includes / notes</t>
        </is>
      </c>
      <c r="F29" s="6" t="inlineStr">
        <is>
          <t>Booked?</t>
        </is>
      </c>
      <c r="G29" s="6" t="inlineStr">
        <is>
          <t>Confirmed price</t>
        </is>
      </c>
    </row>
    <row r="30" ht="28" customHeight="1">
      <c r="A30" s="61" t="inlineStr">
        <is>
          <t>Old Town heritage pass</t>
        </is>
      </c>
      <c r="B30" s="54" t="inlineStr">
        <is>
          <t>gate (Old Town entry)</t>
        </is>
      </c>
      <c r="C30" s="72" t="n">
        <v>120000</v>
      </c>
      <c r="D30" s="73">
        <f>C30/18500</f>
        <v/>
      </c>
      <c r="E30" s="7" t="inlineStr">
        <is>
          <t>Covers 5 of 22 heritage sites + 5 cultural shows</t>
        </is>
      </c>
      <c r="F30" s="13" t="inlineStr">
        <is>
          <t>☐</t>
        </is>
      </c>
      <c r="G30" s="13" t="inlineStr"/>
    </row>
    <row r="31" ht="28" customHeight="1">
      <c r="A31" s="65" t="inlineStr">
        <is>
          <t>Grab one-way (Da Nang ↔ Hoi An)</t>
        </is>
      </c>
      <c r="B31" s="57" t="inlineStr">
        <is>
          <t>Grab</t>
        </is>
      </c>
      <c r="C31" s="74" t="n">
        <v>300000</v>
      </c>
      <c r="D31" s="75">
        <f>C31/18500</f>
        <v/>
      </c>
      <c r="E31" s="3" t="inlineStr">
        <is>
          <t>Per car; ~40 min</t>
        </is>
      </c>
      <c r="F31" s="18" t="inlineStr">
        <is>
          <t>☐</t>
        </is>
      </c>
      <c r="G31" s="18" t="inlineStr"/>
    </row>
    <row r="32" ht="28" customHeight="1">
      <c r="A32" s="61" t="inlineStr">
        <is>
          <t>Bánh Mì Phượng / Madam Khánh</t>
        </is>
      </c>
      <c r="B32" s="54" t="inlineStr">
        <is>
          <t>street stall</t>
        </is>
      </c>
      <c r="C32" s="72" t="n">
        <v>35000</v>
      </c>
      <c r="D32" s="73">
        <f>C32/18500</f>
        <v/>
      </c>
      <c r="E32" s="7" t="inlineStr">
        <is>
          <t>20–35k each — iconic banh mi</t>
        </is>
      </c>
      <c r="F32" s="13" t="inlineStr">
        <is>
          <t>☐</t>
        </is>
      </c>
      <c r="G32" s="13" t="inlineStr"/>
    </row>
    <row r="33" ht="28" customHeight="1">
      <c r="A33" s="65" t="inlineStr">
        <is>
          <t>Local lunch (banh canh, com ga)</t>
        </is>
      </c>
      <c r="B33" s="57" t="inlineStr">
        <is>
          <t>local quán</t>
        </is>
      </c>
      <c r="C33" s="74" t="n">
        <v>80000</v>
      </c>
      <c r="D33" s="75">
        <f>C33/18500</f>
        <v/>
      </c>
      <c r="E33" s="3" t="inlineStr">
        <is>
          <t>Per pax</t>
        </is>
      </c>
      <c r="F33" s="18" t="inlineStr">
        <is>
          <t>☐</t>
        </is>
      </c>
      <c r="G33" s="18" t="inlineStr"/>
    </row>
    <row r="34" ht="28" customHeight="1">
      <c r="A34" s="61" t="inlineStr">
        <is>
          <t>Nữ Eatery dinner</t>
        </is>
      </c>
      <c r="B34" s="54" t="inlineStr">
        <is>
          <t>restaurant</t>
        </is>
      </c>
      <c r="C34" s="72" t="n">
        <v>450000</v>
      </c>
      <c r="D34" s="73">
        <f>C34/18500</f>
        <v/>
      </c>
      <c r="E34" s="7" t="inlineStr">
        <is>
          <t>Per pax small-plate set</t>
        </is>
      </c>
      <c r="F34" s="13" t="inlineStr">
        <is>
          <t>☐</t>
        </is>
      </c>
      <c r="G34" s="13" t="inlineStr"/>
    </row>
    <row r="35" ht="28" customHeight="1">
      <c r="A35" s="65" t="inlineStr">
        <is>
          <t>Morning Glory dinner</t>
        </is>
      </c>
      <c r="B35" s="57" t="inlineStr">
        <is>
          <t>restaurant</t>
        </is>
      </c>
      <c r="C35" s="74" t="n">
        <v>500000</v>
      </c>
      <c r="D35" s="75">
        <f>C35/18500</f>
        <v/>
      </c>
      <c r="E35" s="3" t="inlineStr">
        <is>
          <t>Per pax full menu</t>
        </is>
      </c>
      <c r="F35" s="18" t="inlineStr">
        <is>
          <t>☐</t>
        </is>
      </c>
      <c r="G35" s="18" t="inlineStr"/>
    </row>
    <row r="36" ht="28" customHeight="1">
      <c r="A36" s="61" t="inlineStr">
        <is>
          <t>Lantern paper boat ride</t>
        </is>
      </c>
      <c r="B36" s="54" t="inlineStr">
        <is>
          <t>street vendor</t>
        </is>
      </c>
      <c r="C36" s="72" t="n">
        <v>100000</v>
      </c>
      <c r="D36" s="73">
        <f>C36/18500</f>
        <v/>
      </c>
      <c r="E36" s="7" t="inlineStr">
        <is>
          <t>Per boat for 2 pax; negotiate 50–150k</t>
        </is>
      </c>
      <c r="F36" s="13" t="inlineStr">
        <is>
          <t>☐</t>
        </is>
      </c>
      <c r="G36" s="13" t="inlineStr"/>
    </row>
    <row r="37" ht="28" customHeight="1">
      <c r="A37" s="65" t="inlineStr">
        <is>
          <t>An Bàng Beach lounger</t>
        </is>
      </c>
      <c r="B37" s="57" t="inlineStr">
        <is>
          <t>beach bar</t>
        </is>
      </c>
      <c r="C37" s="74" t="n">
        <v>80000</v>
      </c>
      <c r="D37" s="75">
        <f>C37/18500</f>
        <v/>
      </c>
      <c r="E37" s="3" t="inlineStr">
        <is>
          <t>Per chair; drink minimum 100k often waived</t>
        </is>
      </c>
      <c r="F37" s="18" t="inlineStr">
        <is>
          <t>☐</t>
        </is>
      </c>
      <c r="G37" s="18" t="inlineStr"/>
    </row>
    <row r="38" ht="28" customHeight="1">
      <c r="A38" s="61" t="inlineStr">
        <is>
          <t>Thanh Hà Pottery Village entry</t>
        </is>
      </c>
      <c r="B38" s="54" t="inlineStr">
        <is>
          <t>village gate</t>
        </is>
      </c>
      <c r="C38" s="72" t="n">
        <v>35000</v>
      </c>
      <c r="D38" s="73">
        <f>C38/18500</f>
        <v/>
      </c>
      <c r="E38" s="7" t="inlineStr">
        <is>
          <t>Plus pottery-wheel try 20k</t>
        </is>
      </c>
      <c r="F38" s="13" t="inlineStr">
        <is>
          <t>☐</t>
        </is>
      </c>
      <c r="G38" s="13" t="inlineStr"/>
    </row>
    <row r="40" ht="20" customHeight="1">
      <c r="A40" s="71" t="inlineStr">
        <is>
          <t>🏯 MARBLE MOUNTAINS (Day 3 v1 / Day 4 v2)</t>
        </is>
      </c>
    </row>
    <row r="41">
      <c r="A41" s="6" t="inlineStr">
        <is>
          <t>Item</t>
        </is>
      </c>
      <c r="B41" s="6" t="inlineStr">
        <is>
          <t>Channel</t>
        </is>
      </c>
      <c r="C41" s="6" t="inlineStr">
        <is>
          <t>VND</t>
        </is>
      </c>
      <c r="D41" s="6" t="inlineStr">
        <is>
          <t>SGD (≈)</t>
        </is>
      </c>
      <c r="E41" s="6" t="inlineStr">
        <is>
          <t>Includes / notes</t>
        </is>
      </c>
      <c r="F41" s="6" t="inlineStr">
        <is>
          <t>Booked?</t>
        </is>
      </c>
      <c r="G41" s="6" t="inlineStr">
        <is>
          <t>Confirmed price</t>
        </is>
      </c>
    </row>
    <row r="42" ht="28" customHeight="1">
      <c r="A42" s="61" t="inlineStr">
        <is>
          <t>Entry ticket</t>
        </is>
      </c>
      <c r="B42" s="54" t="inlineStr">
        <is>
          <t>gate</t>
        </is>
      </c>
      <c r="C42" s="72" t="n">
        <v>40000</v>
      </c>
      <c r="D42" s="73">
        <f>C42/18500</f>
        <v/>
      </c>
      <c r="E42" s="7" t="inlineStr">
        <is>
          <t>Main entry adult</t>
        </is>
      </c>
      <c r="F42" s="13" t="inlineStr">
        <is>
          <t>☐</t>
        </is>
      </c>
      <c r="G42" s="13" t="inlineStr"/>
    </row>
    <row r="43" ht="28" customHeight="1">
      <c r="A43" s="65" t="inlineStr">
        <is>
          <t>Elevator one-way</t>
        </is>
      </c>
      <c r="B43" s="57" t="inlineStr">
        <is>
          <t>gate</t>
        </is>
      </c>
      <c r="C43" s="74" t="n">
        <v>15000</v>
      </c>
      <c r="D43" s="75">
        <f>C43/18500</f>
        <v/>
      </c>
      <c r="E43" s="3" t="inlineStr">
        <is>
          <t>Skip 156-step climb</t>
        </is>
      </c>
      <c r="F43" s="18" t="inlineStr">
        <is>
          <t>☐</t>
        </is>
      </c>
      <c r="G43" s="18" t="inlineStr"/>
    </row>
    <row r="44" ht="28" customHeight="1">
      <c r="A44" s="61" t="inlineStr">
        <is>
          <t>Am Phủ Cave separate ticket</t>
        </is>
      </c>
      <c r="B44" s="54" t="inlineStr">
        <is>
          <t>gate</t>
        </is>
      </c>
      <c r="C44" s="72" t="n">
        <v>20000</v>
      </c>
      <c r="D44" s="73">
        <f>C44/18500</f>
        <v/>
      </c>
      <c r="E44" s="7" t="inlineStr">
        <is>
          <t>"Hell-heaven" cave; well worth it</t>
        </is>
      </c>
      <c r="F44" s="13" t="inlineStr">
        <is>
          <t>☐</t>
        </is>
      </c>
      <c r="G44" s="13" t="inlineStr"/>
    </row>
    <row r="45" ht="28" customHeight="1">
      <c r="A45" s="65" t="inlineStr">
        <is>
          <t>Local guide (optional)</t>
        </is>
      </c>
      <c r="B45" s="57" t="inlineStr">
        <is>
          <t>on-site freelance</t>
        </is>
      </c>
      <c r="C45" s="74" t="n">
        <v>200000</v>
      </c>
      <c r="D45" s="75">
        <f>C45/18500</f>
        <v/>
      </c>
      <c r="E45" s="3" t="inlineStr">
        <is>
          <t>For 1–2 hr tour; English variable</t>
        </is>
      </c>
      <c r="F45" s="18" t="inlineStr">
        <is>
          <t>☐</t>
        </is>
      </c>
      <c r="G45" s="18" t="inlineStr"/>
    </row>
    <row r="47" ht="20" customHeight="1">
      <c r="A47" s="71" t="inlineStr">
        <is>
          <t>🙏 SON TRA PENINSULA (Day 4)</t>
        </is>
      </c>
    </row>
    <row r="48">
      <c r="A48" s="6" t="inlineStr">
        <is>
          <t>Item</t>
        </is>
      </c>
      <c r="B48" s="6" t="inlineStr">
        <is>
          <t>Channel</t>
        </is>
      </c>
      <c r="C48" s="6" t="inlineStr">
        <is>
          <t>VND</t>
        </is>
      </c>
      <c r="D48" s="6" t="inlineStr">
        <is>
          <t>SGD (≈)</t>
        </is>
      </c>
      <c r="E48" s="6" t="inlineStr">
        <is>
          <t>Includes / notes</t>
        </is>
      </c>
      <c r="F48" s="6" t="inlineStr">
        <is>
          <t>Booked?</t>
        </is>
      </c>
      <c r="G48" s="6" t="inlineStr">
        <is>
          <t>Confirmed price</t>
        </is>
      </c>
    </row>
    <row r="49" ht="28" customHeight="1">
      <c r="A49" s="61" t="inlineStr">
        <is>
          <t>Linh Ứng Pagoda + Lady Buddha entry</t>
        </is>
      </c>
      <c r="B49" s="54" t="inlineStr">
        <is>
          <t>pagoda</t>
        </is>
      </c>
      <c r="C49" s="72" t="n"/>
      <c r="D49" s="73" t="n"/>
      <c r="E49" s="7" t="inlineStr">
        <is>
          <t>FREE; donation optional</t>
        </is>
      </c>
      <c r="F49" s="13" t="inlineStr">
        <is>
          <t>☐</t>
        </is>
      </c>
      <c r="G49" s="13" t="inlineStr"/>
    </row>
    <row r="50" ht="28" customHeight="1">
      <c r="A50" s="65" t="inlineStr">
        <is>
          <t>Sunrise Grab to Lady Buddha</t>
        </is>
      </c>
      <c r="B50" s="57" t="inlineStr">
        <is>
          <t>Grab</t>
        </is>
      </c>
      <c r="C50" s="74" t="n">
        <v>150000</v>
      </c>
      <c r="D50" s="75">
        <f>C50/18500</f>
        <v/>
      </c>
      <c r="E50" s="3" t="inlineStr">
        <is>
          <t>Pre-dawn surcharge</t>
        </is>
      </c>
      <c r="F50" s="18" t="inlineStr">
        <is>
          <t>☐</t>
        </is>
      </c>
      <c r="G50" s="18" t="inlineStr"/>
    </row>
    <row r="51" ht="28" customHeight="1">
      <c r="A51" s="61" t="inlineStr">
        <is>
          <t>Son Tra peninsula motorbike rental</t>
        </is>
      </c>
      <c r="B51" s="54" t="inlineStr">
        <is>
          <t>hotel rental</t>
        </is>
      </c>
      <c r="C51" s="72" t="n">
        <v>200000</v>
      </c>
      <c r="D51" s="73">
        <f>C51/18500</f>
        <v/>
      </c>
      <c r="E51" s="7" t="inlineStr">
        <is>
          <t>24hr; need IDP</t>
        </is>
      </c>
      <c r="F51" s="13" t="inlineStr">
        <is>
          <t>☐</t>
        </is>
      </c>
      <c r="G51" s="13" t="inlineStr"/>
    </row>
    <row r="53" ht="20" customHeight="1">
      <c r="A53" s="71" t="inlineStr">
        <is>
          <t>🌊 DAY-TRIP ALTS</t>
        </is>
      </c>
    </row>
    <row r="54">
      <c r="A54" s="6" t="inlineStr">
        <is>
          <t>Item</t>
        </is>
      </c>
      <c r="B54" s="6" t="inlineStr">
        <is>
          <t>Channel</t>
        </is>
      </c>
      <c r="C54" s="6" t="inlineStr">
        <is>
          <t>VND</t>
        </is>
      </c>
      <c r="D54" s="6" t="inlineStr">
        <is>
          <t>SGD (≈)</t>
        </is>
      </c>
      <c r="E54" s="6" t="inlineStr">
        <is>
          <t>Includes / notes</t>
        </is>
      </c>
      <c r="F54" s="6" t="inlineStr">
        <is>
          <t>Booked?</t>
        </is>
      </c>
      <c r="G54" s="6" t="inlineStr">
        <is>
          <t>Confirmed price</t>
        </is>
      </c>
    </row>
    <row r="55" ht="28" customHeight="1">
      <c r="A55" s="61" t="inlineStr">
        <is>
          <t>Cù Lao Chàm islands speedboat tour</t>
        </is>
      </c>
      <c r="B55" s="54" t="inlineStr">
        <is>
          <t>Klook full-day</t>
        </is>
      </c>
      <c r="C55" s="72" t="n">
        <v>850000</v>
      </c>
      <c r="D55" s="73">
        <f>C55/18500</f>
        <v/>
      </c>
      <c r="E55" s="7" t="inlineStr">
        <is>
          <t>Per pax; boat + snorkel + lunch + park fee</t>
        </is>
      </c>
      <c r="F55" s="13" t="inlineStr">
        <is>
          <t>☐</t>
        </is>
      </c>
      <c r="G55" s="13" t="inlineStr"/>
    </row>
    <row r="56" ht="28" customHeight="1">
      <c r="A56" s="65" t="inlineStr">
        <is>
          <t>Mỹ Sơn Sanctuary half-day shared</t>
        </is>
      </c>
      <c r="B56" s="57" t="inlineStr">
        <is>
          <t>Klook</t>
        </is>
      </c>
      <c r="C56" s="74" t="n">
        <v>450000</v>
      </c>
      <c r="D56" s="75">
        <f>C56/18500</f>
        <v/>
      </c>
      <c r="E56" s="3" t="inlineStr">
        <is>
          <t>Per pax; group van + guide</t>
        </is>
      </c>
      <c r="F56" s="18" t="inlineStr">
        <is>
          <t>☐</t>
        </is>
      </c>
      <c r="G56" s="18" t="inlineStr"/>
    </row>
    <row r="57" ht="28" customHeight="1">
      <c r="A57" s="61" t="inlineStr">
        <is>
          <t>Mỹ Sơn private car</t>
        </is>
      </c>
      <c r="B57" s="54" t="inlineStr">
        <is>
          <t>Klook</t>
        </is>
      </c>
      <c r="C57" s="72" t="n">
        <v>1500000</v>
      </c>
      <c r="D57" s="73">
        <f>C57/18500</f>
        <v/>
      </c>
      <c r="E57" s="7" t="inlineStr">
        <is>
          <t>Per car; sunrise option</t>
        </is>
      </c>
      <c r="F57" s="13" t="inlineStr">
        <is>
          <t>☐</t>
        </is>
      </c>
      <c r="G57" s="13" t="inlineStr"/>
    </row>
    <row r="58" ht="28" customHeight="1">
      <c r="A58" s="65" t="inlineStr">
        <is>
          <t>Bạch Mã National Park day</t>
        </is>
      </c>
      <c r="B58" s="57" t="inlineStr">
        <is>
          <t>Klook private</t>
        </is>
      </c>
      <c r="C58" s="74" t="n">
        <v>2200000</v>
      </c>
      <c r="D58" s="75">
        <f>C58/18500</f>
        <v/>
      </c>
      <c r="E58" s="3" t="inlineStr">
        <is>
          <t>Per car; +200k entry pp</t>
        </is>
      </c>
      <c r="F58" s="18" t="inlineStr">
        <is>
          <t>☐</t>
        </is>
      </c>
      <c r="G58" s="18" t="inlineStr"/>
    </row>
    <row r="59" ht="28" customHeight="1">
      <c r="A59" s="61" t="inlineStr">
        <is>
          <t>Núi Thần Tài Hot Springs day pass</t>
        </is>
      </c>
      <c r="B59" s="54" t="inlineStr">
        <is>
          <t>on-site</t>
        </is>
      </c>
      <c r="C59" s="72" t="n">
        <v>500000</v>
      </c>
      <c r="D59" s="73">
        <f>C59/18500</f>
        <v/>
      </c>
      <c r="E59" s="7" t="inlineStr">
        <is>
          <t>Adult; includes pools + lunch</t>
        </is>
      </c>
      <c r="F59" s="13" t="inlineStr">
        <is>
          <t>☐</t>
        </is>
      </c>
      <c r="G59" s="13" t="inlineStr"/>
    </row>
    <row r="60" ht="28" customHeight="1">
      <c r="A60" s="65" t="inlineStr">
        <is>
          <t>Mikazuki Onsen 365 day pass</t>
        </is>
      </c>
      <c r="B60" s="57" t="inlineStr">
        <is>
          <t>on-site</t>
        </is>
      </c>
      <c r="C60" s="74" t="n">
        <v>550000</v>
      </c>
      <c r="D60" s="75">
        <f>C60/18500</f>
        <v/>
      </c>
      <c r="E60" s="3" t="inlineStr">
        <is>
          <t>Adult onsen + waterpark</t>
        </is>
      </c>
      <c r="F60" s="18" t="inlineStr">
        <is>
          <t>☐</t>
        </is>
      </c>
      <c r="G60" s="18" t="inlineStr"/>
    </row>
    <row r="62" ht="20" customHeight="1">
      <c r="A62" s="71" t="inlineStr">
        <is>
          <t>💆 SPAS (90–150 min range)</t>
        </is>
      </c>
    </row>
    <row r="63">
      <c r="A63" s="6" t="inlineStr">
        <is>
          <t>Item</t>
        </is>
      </c>
      <c r="B63" s="6" t="inlineStr">
        <is>
          <t>Channel</t>
        </is>
      </c>
      <c r="C63" s="6" t="inlineStr">
        <is>
          <t>VND</t>
        </is>
      </c>
      <c r="D63" s="6" t="inlineStr">
        <is>
          <t>SGD (≈)</t>
        </is>
      </c>
      <c r="E63" s="6" t="inlineStr">
        <is>
          <t>Includes / notes</t>
        </is>
      </c>
      <c r="F63" s="6" t="inlineStr">
        <is>
          <t>Booked?</t>
        </is>
      </c>
      <c r="G63" s="6" t="inlineStr">
        <is>
          <t>Confirmed price</t>
        </is>
      </c>
    </row>
    <row r="64" ht="28" customHeight="1">
      <c r="A64" s="61" t="inlineStr">
        <is>
          <t>Herbal Spa signature 90 min</t>
        </is>
      </c>
      <c r="B64" s="54" t="inlineStr">
        <is>
          <t>walk-in / WhatsApp</t>
        </is>
      </c>
      <c r="C64" s="72" t="n">
        <v>700000</v>
      </c>
      <c r="D64" s="73">
        <f>C64/18500</f>
        <v/>
      </c>
      <c r="E64" s="7" t="inlineStr">
        <is>
          <t>Hot stone, herbal massage</t>
        </is>
      </c>
      <c r="F64" s="13" t="inlineStr">
        <is>
          <t>☐</t>
        </is>
      </c>
      <c r="G64" s="13" t="inlineStr"/>
    </row>
    <row r="65" ht="28" customHeight="1">
      <c r="A65" s="65" t="inlineStr">
        <is>
          <t>Herbal Spa 120 min full ritual</t>
        </is>
      </c>
      <c r="B65" s="57" t="inlineStr">
        <is>
          <t>WhatsApp</t>
        </is>
      </c>
      <c r="C65" s="74" t="n">
        <v>950000</v>
      </c>
      <c r="D65" s="75">
        <f>C65/18500</f>
        <v/>
      </c>
      <c r="E65" s="3" t="inlineStr">
        <is>
          <t>Massage + facial + foot scrub</t>
        </is>
      </c>
      <c r="F65" s="18" t="inlineStr">
        <is>
          <t>☐</t>
        </is>
      </c>
      <c r="G65" s="18" t="inlineStr"/>
    </row>
    <row r="66" ht="28" customHeight="1">
      <c r="A66" s="61" t="inlineStr">
        <is>
          <t>Babylon Spa 90 min hot stone</t>
        </is>
      </c>
      <c r="B66" s="54" t="inlineStr">
        <is>
          <t>walk-in / WhatsApp</t>
        </is>
      </c>
      <c r="C66" s="72" t="n">
        <v>800000</v>
      </c>
      <c r="D66" s="73">
        <f>C66/18500</f>
        <v/>
      </c>
      <c r="E66" s="7" t="inlineStr">
        <is>
          <t>Luxury private room</t>
        </is>
      </c>
      <c r="F66" s="13" t="inlineStr">
        <is>
          <t>☐</t>
        </is>
      </c>
      <c r="G66" s="13" t="inlineStr"/>
    </row>
    <row r="67" ht="28" customHeight="1">
      <c r="A67" s="65" t="inlineStr">
        <is>
          <t>Babylon Spa 150 min Royal</t>
        </is>
      </c>
      <c r="B67" s="57" t="inlineStr">
        <is>
          <t>WhatsApp</t>
        </is>
      </c>
      <c r="C67" s="74" t="n">
        <v>1300000</v>
      </c>
      <c r="D67" s="75">
        <f>C67/18500</f>
        <v/>
      </c>
      <c r="E67" s="3" t="inlineStr">
        <is>
          <t>Full-body + facial + treatment</t>
        </is>
      </c>
      <c r="F67" s="18" t="inlineStr">
        <is>
          <t>☐</t>
        </is>
      </c>
      <c r="G67" s="18" t="inlineStr"/>
    </row>
    <row r="68" ht="28" customHeight="1">
      <c r="A68" s="61" t="inlineStr">
        <is>
          <t>Queen Spa 90 min bamboo</t>
        </is>
      </c>
      <c r="B68" s="54" t="inlineStr">
        <is>
          <t>walk-in / WhatsApp</t>
        </is>
      </c>
      <c r="C68" s="72" t="n">
        <v>750000</v>
      </c>
      <c r="D68" s="73">
        <f>C68/18500</f>
        <v/>
      </c>
      <c r="E68" s="7" t="inlineStr">
        <is>
          <t>Signature bamboo stake</t>
        </is>
      </c>
      <c r="F68" s="13" t="inlineStr">
        <is>
          <t>☐</t>
        </is>
      </c>
      <c r="G68" s="13" t="inlineStr"/>
    </row>
    <row r="69" ht="28" customHeight="1">
      <c r="A69" s="65" t="inlineStr">
        <is>
          <t>Queen Spa 120 min herbal bag</t>
        </is>
      </c>
      <c r="B69" s="57" t="inlineStr">
        <is>
          <t>WhatsApp</t>
        </is>
      </c>
      <c r="C69" s="74" t="n">
        <v>1100000</v>
      </c>
      <c r="D69" s="75">
        <f>C69/18500</f>
        <v/>
      </c>
      <c r="E69" s="3" t="inlineStr">
        <is>
          <t>Bamboo + herbal bag + tea</t>
        </is>
      </c>
      <c r="F69" s="18" t="inlineStr">
        <is>
          <t>☐</t>
        </is>
      </c>
      <c r="G69" s="18" t="inlineStr"/>
    </row>
    <row r="70" ht="28" customHeight="1">
      <c r="A70" s="61" t="inlineStr">
        <is>
          <t>Charm Spa Grand 90 min</t>
        </is>
      </c>
      <c r="B70" s="54" t="inlineStr">
        <is>
          <t>walk-in</t>
        </is>
      </c>
      <c r="C70" s="72" t="n">
        <v>600000</v>
      </c>
      <c r="D70" s="73">
        <f>C70/18500</f>
        <v/>
      </c>
      <c r="E70" s="7" t="inlineStr">
        <is>
          <t>Newer, often available</t>
        </is>
      </c>
      <c r="F70" s="13" t="inlineStr">
        <is>
          <t>☐</t>
        </is>
      </c>
      <c r="G70" s="13" t="inlineStr"/>
    </row>
    <row r="72" ht="20" customHeight="1">
      <c r="A72" s="71" t="inlineStr">
        <is>
          <t>🚖 TRANSPORT</t>
        </is>
      </c>
    </row>
    <row r="73">
      <c r="A73" s="6" t="inlineStr">
        <is>
          <t>Item</t>
        </is>
      </c>
      <c r="B73" s="6" t="inlineStr">
        <is>
          <t>Channel</t>
        </is>
      </c>
      <c r="C73" s="6" t="inlineStr">
        <is>
          <t>VND</t>
        </is>
      </c>
      <c r="D73" s="6" t="inlineStr">
        <is>
          <t>SGD (≈)</t>
        </is>
      </c>
      <c r="E73" s="6" t="inlineStr">
        <is>
          <t>Includes / notes</t>
        </is>
      </c>
      <c r="F73" s="6" t="inlineStr">
        <is>
          <t>Booked?</t>
        </is>
      </c>
      <c r="G73" s="6" t="inlineStr">
        <is>
          <t>Confirmed price</t>
        </is>
      </c>
    </row>
    <row r="74" ht="28" customHeight="1">
      <c r="A74" s="61" t="inlineStr">
        <is>
          <t>Grab DAD ↔ My Khe</t>
        </is>
      </c>
      <c r="B74" s="54" t="inlineStr">
        <is>
          <t>Grab</t>
        </is>
      </c>
      <c r="C74" s="72" t="n">
        <v>150000</v>
      </c>
      <c r="D74" s="73">
        <f>C74/18500</f>
        <v/>
      </c>
      <c r="E74" s="7" t="inlineStr">
        <is>
          <t>Each way</t>
        </is>
      </c>
      <c r="F74" s="13" t="inlineStr">
        <is>
          <t>☐</t>
        </is>
      </c>
      <c r="G74" s="13" t="inlineStr"/>
    </row>
    <row r="75" ht="28" customHeight="1">
      <c r="A75" s="65" t="inlineStr">
        <is>
          <t>Grab My Khe ↔ Dragon Bridge</t>
        </is>
      </c>
      <c r="B75" s="57" t="inlineStr">
        <is>
          <t>Grab</t>
        </is>
      </c>
      <c r="C75" s="74" t="n">
        <v>80000</v>
      </c>
      <c r="D75" s="75">
        <f>C75/18500</f>
        <v/>
      </c>
      <c r="E75" s="3" t="inlineStr"/>
      <c r="F75" s="18" t="inlineStr">
        <is>
          <t>☐</t>
        </is>
      </c>
      <c r="G75" s="18" t="inlineStr"/>
    </row>
    <row r="76" ht="28" customHeight="1">
      <c r="A76" s="61" t="inlineStr">
        <is>
          <t>Grab My Khe ↔ Hoi An</t>
        </is>
      </c>
      <c r="B76" s="54" t="inlineStr">
        <is>
          <t>Grab</t>
        </is>
      </c>
      <c r="C76" s="72" t="n">
        <v>300000</v>
      </c>
      <c r="D76" s="73">
        <f>C76/18500</f>
        <v/>
      </c>
      <c r="E76" s="7" t="inlineStr"/>
      <c r="F76" s="13" t="inlineStr">
        <is>
          <t>☐</t>
        </is>
      </c>
      <c r="G76" s="13" t="inlineStr"/>
    </row>
    <row r="77" ht="28" customHeight="1">
      <c r="A77" s="65" t="inlineStr">
        <is>
          <t>Grab My Khe ↔ Marble Mountains</t>
        </is>
      </c>
      <c r="B77" s="57" t="inlineStr">
        <is>
          <t>Grab</t>
        </is>
      </c>
      <c r="C77" s="74" t="n">
        <v>100000</v>
      </c>
      <c r="D77" s="75">
        <f>C77/18500</f>
        <v/>
      </c>
      <c r="E77" s="3" t="inlineStr"/>
      <c r="F77" s="18" t="inlineStr">
        <is>
          <t>☐</t>
        </is>
      </c>
      <c r="G77" s="18" t="inlineStr"/>
    </row>
    <row r="78" ht="28" customHeight="1">
      <c r="A78" s="61" t="inlineStr">
        <is>
          <t>Grab My Khe ↔ Lady Buddha</t>
        </is>
      </c>
      <c r="B78" s="54" t="inlineStr">
        <is>
          <t>Grab</t>
        </is>
      </c>
      <c r="C78" s="72" t="n">
        <v>120000</v>
      </c>
      <c r="D78" s="73">
        <f>C78/18500</f>
        <v/>
      </c>
      <c r="E78" s="7" t="inlineStr"/>
      <c r="F78" s="13" t="inlineStr">
        <is>
          <t>☐</t>
        </is>
      </c>
      <c r="G78" s="13" t="inlineStr"/>
    </row>
    <row r="79" ht="28" customHeight="1">
      <c r="A79" s="65" t="inlineStr">
        <is>
          <t>Viettel SIM 30-day 60GB</t>
        </is>
      </c>
      <c r="B79" s="57" t="inlineStr">
        <is>
          <t>DAD arrival counter</t>
        </is>
      </c>
      <c r="C79" s="74" t="n">
        <v>250000</v>
      </c>
      <c r="D79" s="75">
        <f>C79/18500</f>
        <v/>
      </c>
      <c r="E79" s="3" t="inlineStr">
        <is>
          <t>Cheaper than tout SIMs</t>
        </is>
      </c>
      <c r="F79" s="18" t="inlineStr">
        <is>
          <t>☐</t>
        </is>
      </c>
      <c r="G79" s="18" t="inlineStr"/>
    </row>
    <row r="80" ht="28" customHeight="1">
      <c r="A80" s="61" t="inlineStr">
        <is>
          <t>Airalo eSIM 5GB/30day</t>
        </is>
      </c>
      <c r="B80" s="54" t="inlineStr">
        <is>
          <t>app pre-purchase</t>
        </is>
      </c>
      <c r="C80" s="72" t="n">
        <v>250000</v>
      </c>
      <c r="D80" s="73">
        <f>C80/18500</f>
        <v/>
      </c>
      <c r="E80" s="7" t="inlineStr">
        <is>
          <t>~S$13; works on arrival</t>
        </is>
      </c>
      <c r="F80" s="13" t="inlineStr">
        <is>
          <t>☐</t>
        </is>
      </c>
      <c r="G80" s="13" t="inlineStr"/>
    </row>
    <row r="81" ht="28" customHeight="1">
      <c r="A81" s="65" t="inlineStr">
        <is>
          <t>Klook eSIM 10GB/15day</t>
        </is>
      </c>
      <c r="B81" s="57" t="inlineStr">
        <is>
          <t>Klook</t>
        </is>
      </c>
      <c r="C81" s="74" t="n">
        <v>280000</v>
      </c>
      <c r="D81" s="75">
        <f>C81/18500</f>
        <v/>
      </c>
      <c r="E81" s="3" t="inlineStr">
        <is>
          <t>~S$15</t>
        </is>
      </c>
      <c r="F81" s="18" t="inlineStr">
        <is>
          <t>☐</t>
        </is>
      </c>
      <c r="G81" s="18" t="inlineStr"/>
    </row>
    <row r="82" ht="28" customHeight="1">
      <c r="A82" s="61" t="inlineStr">
        <is>
          <t>Klook airport private transfer DAD→hotel</t>
        </is>
      </c>
      <c r="B82" s="54" t="inlineStr">
        <is>
          <t>Klook</t>
        </is>
      </c>
      <c r="C82" s="72" t="n">
        <v>220000</v>
      </c>
      <c r="D82" s="73">
        <f>C82/18500</f>
        <v/>
      </c>
      <c r="E82" s="7" t="inlineStr">
        <is>
          <t>Per car; English meet &amp; greet</t>
        </is>
      </c>
      <c r="F82" s="13" t="inlineStr">
        <is>
          <t>☐</t>
        </is>
      </c>
      <c r="G82" s="13" t="inlineStr"/>
    </row>
    <row r="84" ht="20" customHeight="1">
      <c r="A84" s="71" t="inlineStr">
        <is>
          <t>🍻 NIGHTLIFE</t>
        </is>
      </c>
    </row>
    <row r="85">
      <c r="A85" s="6" t="inlineStr">
        <is>
          <t>Item</t>
        </is>
      </c>
      <c r="B85" s="6" t="inlineStr">
        <is>
          <t>Channel</t>
        </is>
      </c>
      <c r="C85" s="6" t="inlineStr">
        <is>
          <t>VND</t>
        </is>
      </c>
      <c r="D85" s="6" t="inlineStr">
        <is>
          <t>SGD (≈)</t>
        </is>
      </c>
      <c r="E85" s="6" t="inlineStr">
        <is>
          <t>Includes / notes</t>
        </is>
      </c>
      <c r="F85" s="6" t="inlineStr">
        <is>
          <t>Booked?</t>
        </is>
      </c>
      <c r="G85" s="6" t="inlineStr">
        <is>
          <t>Confirmed price</t>
        </is>
      </c>
    </row>
    <row r="86" ht="28" customHeight="1">
      <c r="A86" s="61" t="inlineStr">
        <is>
          <t>Da Nang Nightlife Crawl</t>
        </is>
      </c>
      <c r="B86" s="54" t="inlineStr">
        <is>
          <t>DaNangLeisure.com</t>
        </is>
      </c>
      <c r="C86" s="72" t="n">
        <v>300000</v>
      </c>
      <c r="D86" s="73">
        <f>C86/18500</f>
        <v/>
      </c>
      <c r="E86" s="7" t="inlineStr">
        <is>
          <t>Sat 21:30; 4 venues + welcome shot + van transport</t>
        </is>
      </c>
      <c r="F86" s="13" t="inlineStr">
        <is>
          <t>☐</t>
        </is>
      </c>
      <c r="G86" s="13" t="inlineStr"/>
    </row>
    <row r="87" ht="28" customHeight="1">
      <c r="A87" s="65" t="inlineStr">
        <is>
          <t>Klook Da Nang Night Tour + Bar Hop</t>
        </is>
      </c>
      <c r="B87" s="57" t="inlineStr">
        <is>
          <t>Klook</t>
        </is>
      </c>
      <c r="C87" s="74" t="n">
        <v>650000</v>
      </c>
      <c r="D87" s="75">
        <f>C87/18500</f>
        <v/>
      </c>
      <c r="E87" s="3" t="inlineStr">
        <is>
          <t>Includes street food + craft beer + motorbike pillion</t>
        </is>
      </c>
      <c r="F87" s="18" t="inlineStr">
        <is>
          <t>☐</t>
        </is>
      </c>
      <c r="G87" s="18" t="inlineStr"/>
    </row>
    <row r="88" ht="28" customHeight="1">
      <c r="A88" s="61" t="inlineStr">
        <is>
          <t>Sky36 cocktails</t>
        </is>
      </c>
      <c r="B88" s="54" t="inlineStr">
        <is>
          <t>rooftop</t>
        </is>
      </c>
      <c r="C88" s="72" t="n">
        <v>250000</v>
      </c>
      <c r="D88" s="73">
        <f>C88/18500</f>
        <v/>
      </c>
      <c r="E88" s="7" t="inlineStr">
        <is>
          <t>2-drink min; entry 50k after 21:00</t>
        </is>
      </c>
      <c r="F88" s="13" t="inlineStr">
        <is>
          <t>☐</t>
        </is>
      </c>
      <c r="G88" s="13" t="inlineStr"/>
    </row>
    <row r="89" ht="28" customHeight="1">
      <c r="A89" s="65" t="inlineStr">
        <is>
          <t>Local beer (Saigon Special, Larue)</t>
        </is>
      </c>
      <c r="B89" s="57" t="inlineStr">
        <is>
          <t>street bar</t>
        </is>
      </c>
      <c r="C89" s="74" t="n">
        <v>25000</v>
      </c>
      <c r="D89" s="75">
        <f>C89/18500</f>
        <v/>
      </c>
      <c r="E89" s="3" t="inlineStr">
        <is>
          <t>Per bottle</t>
        </is>
      </c>
      <c r="F89" s="18" t="inlineStr">
        <is>
          <t>☐</t>
        </is>
      </c>
      <c r="G89" s="18" t="inlineStr"/>
    </row>
    <row r="91" ht="20" customHeight="1">
      <c r="A91" s="71" t="inlineStr">
        <is>
          <t>🍽️ KEY FOOD MARKERS</t>
        </is>
      </c>
    </row>
    <row r="92">
      <c r="A92" s="6" t="inlineStr">
        <is>
          <t>Item</t>
        </is>
      </c>
      <c r="B92" s="6" t="inlineStr">
        <is>
          <t>Channel</t>
        </is>
      </c>
      <c r="C92" s="6" t="inlineStr">
        <is>
          <t>VND</t>
        </is>
      </c>
      <c r="D92" s="6" t="inlineStr">
        <is>
          <t>SGD (≈)</t>
        </is>
      </c>
      <c r="E92" s="6" t="inlineStr">
        <is>
          <t>Includes / notes</t>
        </is>
      </c>
      <c r="F92" s="6" t="inlineStr">
        <is>
          <t>Booked?</t>
        </is>
      </c>
      <c r="G92" s="6" t="inlineStr">
        <is>
          <t>Confirmed price</t>
        </is>
      </c>
    </row>
    <row r="93" ht="28" customHeight="1">
      <c r="A93" s="61" t="inlineStr">
        <is>
          <t>Bếp Cuốn Đà Nẵng full meal</t>
        </is>
      </c>
      <c r="B93" s="54" t="inlineStr">
        <is>
          <t>restaurant</t>
        </is>
      </c>
      <c r="C93" s="72" t="n">
        <v>200000</v>
      </c>
      <c r="D93" s="73">
        <f>C93/18500</f>
        <v/>
      </c>
      <c r="E93" s="7" t="inlineStr">
        <is>
          <t>Per pax; bánh xèo + 3 rolls + drink</t>
        </is>
      </c>
      <c r="F93" s="13" t="inlineStr">
        <is>
          <t>☐</t>
        </is>
      </c>
      <c r="G93" s="13" t="inlineStr"/>
    </row>
    <row r="94" ht="28" customHeight="1">
      <c r="A94" s="65" t="inlineStr">
        <is>
          <t>Mì Quảng Ếch Bếp Trang</t>
        </is>
      </c>
      <c r="B94" s="57" t="inlineStr">
        <is>
          <t>restaurant</t>
        </is>
      </c>
      <c r="C94" s="74" t="n">
        <v>150000</v>
      </c>
      <c r="D94" s="75">
        <f>C94/18500</f>
        <v/>
      </c>
      <c r="E94" s="3" t="inlineStr">
        <is>
          <t>Per pax frog Mì Quảng + side</t>
        </is>
      </c>
      <c r="F94" s="18" t="inlineStr">
        <is>
          <t>☐</t>
        </is>
      </c>
      <c r="G94" s="18" t="inlineStr"/>
    </row>
    <row r="95" ht="28" customHeight="1">
      <c r="A95" s="61" t="inlineStr">
        <is>
          <t>Mộc Hải Sản seafood feast</t>
        </is>
      </c>
      <c r="B95" s="54" t="inlineStr">
        <is>
          <t>restaurant</t>
        </is>
      </c>
      <c r="C95" s="72" t="n">
        <v>800000</v>
      </c>
      <c r="D95" s="73">
        <f>C95/18500</f>
        <v/>
      </c>
      <c r="E95" s="7" t="inlineStr">
        <is>
          <t>Per pax tank-pick mix</t>
        </is>
      </c>
      <c r="F95" s="13" t="inlineStr">
        <is>
          <t>☐</t>
        </is>
      </c>
      <c r="G95" s="13" t="inlineStr"/>
    </row>
    <row r="96" ht="28" customHeight="1">
      <c r="A96" s="65" t="inlineStr">
        <is>
          <t>Bé Mặn Seafood</t>
        </is>
      </c>
      <c r="B96" s="57" t="inlineStr">
        <is>
          <t>restaurant</t>
        </is>
      </c>
      <c r="C96" s="74" t="n">
        <v>600000</v>
      </c>
      <c r="D96" s="75">
        <f>C96/18500</f>
        <v/>
      </c>
      <c r="E96" s="3" t="inlineStr">
        <is>
          <t>Per pax; cheaper than Mộc</t>
        </is>
      </c>
      <c r="F96" s="18" t="inlineStr">
        <is>
          <t>☐</t>
        </is>
      </c>
      <c r="G96" s="18" t="inlineStr"/>
    </row>
    <row r="97" ht="28" customHeight="1">
      <c r="A97" s="61" t="inlineStr">
        <is>
          <t>Pizza 4Ps Da Nang</t>
        </is>
      </c>
      <c r="B97" s="54" t="inlineStr">
        <is>
          <t>restaurant</t>
        </is>
      </c>
      <c r="C97" s="72" t="n">
        <v>250000</v>
      </c>
      <c r="D97" s="73">
        <f>C97/18500</f>
        <v/>
      </c>
      <c r="E97" s="7" t="inlineStr">
        <is>
          <t>Per pax; burrata pizza ~280k whole</t>
        </is>
      </c>
      <c r="F97" s="13" t="inlineStr">
        <is>
          <t>☐</t>
        </is>
      </c>
      <c r="G97" s="13" t="inlineStr"/>
    </row>
    <row r="98" ht="28" customHeight="1">
      <c r="A98" s="65" t="inlineStr">
        <is>
          <t>Cộng Cà Phê Cốt Dừa</t>
        </is>
      </c>
      <c r="B98" s="57" t="inlineStr">
        <is>
          <t>café</t>
        </is>
      </c>
      <c r="C98" s="74" t="n">
        <v>70000</v>
      </c>
      <c r="D98" s="75">
        <f>C98/18500</f>
        <v/>
      </c>
      <c r="E98" s="3" t="inlineStr">
        <is>
          <t>Signature coconut frozen coffee</t>
        </is>
      </c>
      <c r="F98" s="18" t="inlineStr">
        <is>
          <t>☐</t>
        </is>
      </c>
      <c r="G98" s="18" t="inlineStr"/>
    </row>
    <row r="99" ht="28" customHeight="1">
      <c r="A99" s="61" t="inlineStr">
        <is>
          <t>43 Factory pour-over</t>
        </is>
      </c>
      <c r="B99" s="54" t="inlineStr">
        <is>
          <t>café</t>
        </is>
      </c>
      <c r="C99" s="72" t="n">
        <v>90000</v>
      </c>
      <c r="D99" s="73">
        <f>C99/18500</f>
        <v/>
      </c>
      <c r="E99" s="7" t="inlineStr">
        <is>
          <t>Specialty single-origin</t>
        </is>
      </c>
      <c r="F99" s="13" t="inlineStr">
        <is>
          <t>☐</t>
        </is>
      </c>
      <c r="G99" s="13" t="inlineStr"/>
    </row>
    <row r="100" ht="28" customHeight="1">
      <c r="A100" s="65" t="inlineStr">
        <is>
          <t>Phin Coffee</t>
        </is>
      </c>
      <c r="B100" s="57" t="inlineStr">
        <is>
          <t>café</t>
        </is>
      </c>
      <c r="C100" s="74" t="n">
        <v>60000</v>
      </c>
      <c r="D100" s="75">
        <f>C100/18500</f>
        <v/>
      </c>
      <c r="E100" s="3" t="inlineStr">
        <is>
          <t>Traditional VN drip</t>
        </is>
      </c>
      <c r="F100" s="18" t="inlineStr">
        <is>
          <t>☐</t>
        </is>
      </c>
      <c r="G100" s="18" t="inlineStr"/>
    </row>
    <row r="101" ht="28" customHeight="1">
      <c r="A101" s="61" t="inlineStr">
        <is>
          <t>Phở Thìn</t>
        </is>
      </c>
      <c r="B101" s="54" t="inlineStr">
        <is>
          <t>restaurant</t>
        </is>
      </c>
      <c r="C101" s="72" t="n">
        <v>120000</v>
      </c>
      <c r="D101" s="73">
        <f>C101/18500</f>
        <v/>
      </c>
      <c r="E101" s="7" t="inlineStr">
        <is>
          <t>Per pax beef pho + side</t>
        </is>
      </c>
      <c r="F101" s="13" t="inlineStr">
        <is>
          <t>☐</t>
        </is>
      </c>
      <c r="G101" s="13" t="inlineStr"/>
    </row>
    <row r="102" ht="28" customHeight="1">
      <c r="A102" s="65" t="inlineStr">
        <is>
          <t>Bánh mì street stall</t>
        </is>
      </c>
      <c r="B102" s="57" t="inlineStr">
        <is>
          <t>street</t>
        </is>
      </c>
      <c r="C102" s="74" t="n">
        <v>35000</v>
      </c>
      <c r="D102" s="75">
        <f>C102/18500</f>
        <v/>
      </c>
      <c r="E102" s="3" t="inlineStr">
        <is>
          <t>Per piece</t>
        </is>
      </c>
      <c r="F102" s="18" t="inlineStr">
        <is>
          <t>☐</t>
        </is>
      </c>
      <c r="G102" s="18" t="inlineStr"/>
    </row>
  </sheetData>
  <mergeCells count="12">
    <mergeCell ref="A84:G84"/>
    <mergeCell ref="A1:G1"/>
    <mergeCell ref="A40:G40"/>
    <mergeCell ref="A53:G53"/>
    <mergeCell ref="A91:G91"/>
    <mergeCell ref="A4:G4"/>
    <mergeCell ref="A62:G62"/>
    <mergeCell ref="A16:G16"/>
    <mergeCell ref="A2:G2"/>
    <mergeCell ref="A72:G72"/>
    <mergeCell ref="A47:G47"/>
    <mergeCell ref="A28:G2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26" customWidth="1" min="4" max="4"/>
    <col width="12" customWidth="1" min="5" max="5"/>
    <col width="11" customWidth="1" min="6" max="6"/>
    <col width="8" customWidth="1" min="7" max="7"/>
    <col width="12" customWidth="1" min="8" max="8"/>
    <col width="12" customWidth="1" min="9" max="9"/>
  </cols>
  <sheetData>
    <row r="1" ht="24" customHeight="1">
      <c r="A1" s="76" t="inlineStr">
        <is>
          <t>🌧️ Bad Weather Plan B (v3) — Indoor / Sheltered Swaps</t>
        </is>
      </c>
    </row>
    <row r="2" ht="56" customHeight="1">
      <c r="A2" s="60" t="inlineStr">
        <is>
          <t>Aug Da Nang risks: afternoon thunderstorms (~30% days), tropical-depression edge (~10%), full typhoon (~3–5%). Check forecast via Windy.com + nchmf.gov.vn each morning 07:00. Decision tree below. Klook FLEX bookings (look for "Free cancellation up to 24hr") strongly recommended for outdoor items.</t>
        </is>
      </c>
    </row>
    <row r="4" ht="22" customHeight="1">
      <c r="A4" s="77" t="inlineStr">
        <is>
          <t>🌦️ Morning Forecast Decision Tree</t>
        </is>
      </c>
    </row>
    <row r="6">
      <c r="A6" s="6" t="inlineStr">
        <is>
          <t>Condition</t>
        </is>
      </c>
      <c r="B6" s="6" t="inlineStr">
        <is>
          <t>Trigger</t>
        </is>
      </c>
      <c r="C6" s="6" t="inlineStr">
        <is>
          <t>Action</t>
        </is>
      </c>
      <c r="D6" s="78" t="n"/>
      <c r="E6" s="78" t="n"/>
      <c r="F6" s="78" t="n"/>
      <c r="G6" s="78" t="n"/>
      <c r="H6" s="78" t="n"/>
      <c r="I6" s="79" t="n"/>
    </row>
    <row r="7" ht="38" customHeight="1">
      <c r="A7" s="61" t="inlineStr">
        <is>
          <t>☀️ Clear / scattered cloud</t>
        </is>
      </c>
      <c r="B7" s="7" t="inlineStr">
        <is>
          <t>Rain &lt;30%, wind &lt;20km/h</t>
        </is>
      </c>
      <c r="C7" s="7" t="inlineStr">
        <is>
          <t>Run v1 or v2 itinerary unchanged. Apply sunscreen, hydrate, expect heat.</t>
        </is>
      </c>
      <c r="D7" s="7" t="n"/>
      <c r="E7" s="7" t="n"/>
      <c r="F7" s="7" t="n"/>
      <c r="G7" s="7" t="n"/>
      <c r="H7" s="7" t="n"/>
      <c r="I7" s="7" t="n"/>
    </row>
    <row r="8" ht="38" customHeight="1">
      <c r="A8" s="65" t="inlineStr">
        <is>
          <t>⛅ Afternoon showers expected</t>
        </is>
      </c>
      <c r="B8" s="3" t="inlineStr">
        <is>
          <t>Rain 30–60% PM only</t>
        </is>
      </c>
      <c r="C8" s="3" t="inlineStr">
        <is>
          <t>Front-load outdoor activity: do morning Ba Na/Hai Van/Hoi An, indoor PM (spa, café, museum). Carry packable rain shell.</t>
        </is>
      </c>
      <c r="D8" s="3" t="n"/>
      <c r="E8" s="3" t="n"/>
      <c r="F8" s="3" t="n"/>
      <c r="G8" s="3" t="n"/>
      <c r="H8" s="3" t="n"/>
      <c r="I8" s="3" t="n"/>
    </row>
    <row r="9" ht="38" customHeight="1">
      <c r="A9" s="61" t="inlineStr">
        <is>
          <t>🌧️ All-day rain</t>
        </is>
      </c>
      <c r="B9" s="7" t="inlineStr">
        <is>
          <t>Rain 60–90%, wind 20–40km/h</t>
        </is>
      </c>
      <c r="C9" s="7" t="inlineStr">
        <is>
          <t>Pivot to FULL INDOOR plan (see day-by-day swaps below). Cable car may close intermittently. Avoid motorbike tours.</t>
        </is>
      </c>
      <c r="D9" s="7" t="n"/>
      <c r="E9" s="7" t="n"/>
      <c r="F9" s="7" t="n"/>
      <c r="G9" s="7" t="n"/>
      <c r="H9" s="7" t="n"/>
      <c r="I9" s="7" t="n"/>
    </row>
    <row r="10" ht="38" customHeight="1">
      <c r="A10" s="65" t="inlineStr">
        <is>
          <t>⛈️ Tropical storm / heavy depression</t>
        </is>
      </c>
      <c r="B10" s="3" t="inlineStr">
        <is>
          <t>Rain &gt;90%, wind 40–80km/h</t>
        </is>
      </c>
      <c r="C10" s="3" t="inlineStr">
        <is>
          <t>STAY IN CITY. No Hai Van Pass (landslides), no Ba Na (cable car closed), no Son Tra (winding road). Hotel + spa + museum + mall day. Hoi An OK if not flooded.</t>
        </is>
      </c>
      <c r="D10" s="3" t="n"/>
      <c r="E10" s="3" t="n"/>
      <c r="F10" s="3" t="n"/>
      <c r="G10" s="3" t="n"/>
      <c r="H10" s="3" t="n"/>
      <c r="I10" s="3" t="n"/>
    </row>
    <row r="11" ht="38" customHeight="1">
      <c r="A11" s="61" t="inlineStr">
        <is>
          <t>🌀 Typhoon warning issued</t>
        </is>
      </c>
      <c r="B11" s="7" t="inlineStr">
        <is>
          <t>Cyclone within 200km</t>
        </is>
      </c>
      <c r="C11" s="7" t="inlineStr">
        <is>
          <t>STAY HOTEL. Stock water + snacks. Charge devices. Monitor PAGASA + nchmf.gov.vn hourly. Scoot may rebook. Insurance kicks in for major delays.</t>
        </is>
      </c>
      <c r="D11" s="7" t="n"/>
      <c r="E11" s="7" t="n"/>
      <c r="F11" s="7" t="n"/>
      <c r="G11" s="7" t="n"/>
      <c r="H11" s="7" t="n"/>
      <c r="I11" s="7" t="n"/>
    </row>
    <row r="13" ht="22" customHeight="1">
      <c r="A13" s="77" t="inlineStr">
        <is>
          <t>🔄 Per-Day Bad-Weather Swaps</t>
        </is>
      </c>
    </row>
    <row r="14" ht="20" customHeight="1">
      <c r="A14" s="80" t="inlineStr">
        <is>
          <t>Day 1 — Fri 14 Aug</t>
        </is>
      </c>
    </row>
    <row r="15">
      <c r="A15" s="6" t="inlineStr">
        <is>
          <t>Original item</t>
        </is>
      </c>
      <c r="B15" s="6" t="inlineStr">
        <is>
          <t>Why at risk</t>
        </is>
      </c>
      <c r="C15" s="6" t="inlineStr">
        <is>
          <t>Trigger</t>
        </is>
      </c>
      <c r="D15" s="6" t="inlineStr">
        <is>
          <t>Plan-B action</t>
        </is>
      </c>
      <c r="E15" s="6" t="inlineStr">
        <is>
          <t>Alt VND</t>
        </is>
      </c>
      <c r="F15" s="6" t="inlineStr">
        <is>
          <t>Channel</t>
        </is>
      </c>
      <c r="G15" s="78" t="n"/>
      <c r="H15" s="78" t="n"/>
      <c r="I15" s="79" t="n"/>
    </row>
    <row r="16" ht="50" customHeight="1">
      <c r="A16" s="61" t="inlineStr">
        <is>
          <t>Original PM (any)</t>
        </is>
      </c>
      <c r="B16" s="7" t="inlineStr">
        <is>
          <t>Beach walk + Dragon Bridge show outdoor</t>
        </is>
      </c>
      <c r="C16" s="55" t="inlineStr">
        <is>
          <t>Light–Mod rain</t>
        </is>
      </c>
      <c r="D16" s="7" t="inlineStr">
        <is>
          <t>Move beach walk → café/spa indoor. Dragon Bridge show STILL RUNS in light rain (canopy on east deck). HEAVY rain: show may be cancelled (no official cancel page — check Sun Group FB live). Pivot to Sky36 rooftop bar (covered) or Han River dinner cruise (indoor lower deck).</t>
        </is>
      </c>
      <c r="E16" s="54" t="n"/>
      <c r="F16" s="81" t="n"/>
      <c r="G16" s="54" t="n"/>
      <c r="H16" s="7" t="inlineStr">
        <is>
          <t>—</t>
        </is>
      </c>
      <c r="I16" s="54" t="n"/>
    </row>
    <row r="17" ht="50" customHeight="1">
      <c r="A17" s="65" t="inlineStr">
        <is>
          <t>Spa upgrade</t>
        </is>
      </c>
      <c r="B17" s="3" t="inlineStr">
        <is>
          <t>Single 90-min booked</t>
        </is>
      </c>
      <c r="C17" s="58" t="inlineStr">
        <is>
          <t>Storm</t>
        </is>
      </c>
      <c r="D17" s="3" t="inlineStr">
        <is>
          <t>Upgrade to 150-min Royal at Babylon/Queen — eats more storm time. ~1.3M VND.</t>
        </is>
      </c>
      <c r="E17" s="57" t="n"/>
      <c r="F17" s="82" t="n">
        <v>1300000</v>
      </c>
      <c r="G17" s="57" t="n"/>
      <c r="H17" s="3" t="inlineStr">
        <is>
          <t>+550k upgrade</t>
        </is>
      </c>
      <c r="I17" s="57" t="n"/>
    </row>
    <row r="18" ht="50" customHeight="1">
      <c r="A18" s="61" t="inlineStr">
        <is>
          <t>Cooking class</t>
        </is>
      </c>
      <c r="B18" s="7" t="inlineStr">
        <is>
          <t>Skipped in v1/v2</t>
        </is>
      </c>
      <c r="C18" s="55" t="inlineStr">
        <is>
          <t>Storm</t>
        </is>
      </c>
      <c r="D18" s="7" t="inlineStr">
        <is>
          <t>Red Bridge Cooking School (Hoi An has DN pickup) — full-day indoor incl market tour + cooking. Klook ~1.3M pp. Move from Day 3 to Day 1 if Day 1 storm.</t>
        </is>
      </c>
      <c r="E18" s="54" t="n"/>
      <c r="F18" s="81" t="n">
        <v>1300000</v>
      </c>
      <c r="G18" s="54" t="n"/>
      <c r="H18" s="7" t="inlineStr">
        <is>
          <t>Klook bundle</t>
        </is>
      </c>
      <c r="I18" s="54" t="n"/>
    </row>
    <row r="20" ht="20" customHeight="1">
      <c r="A20" s="80" t="inlineStr">
        <is>
          <t>Day 2 — Sat 15 Aug</t>
        </is>
      </c>
    </row>
    <row r="21">
      <c r="A21" s="6" t="inlineStr">
        <is>
          <t>Original item</t>
        </is>
      </c>
      <c r="B21" s="6" t="inlineStr">
        <is>
          <t>Why at risk</t>
        </is>
      </c>
      <c r="C21" s="6" t="inlineStr">
        <is>
          <t>Trigger</t>
        </is>
      </c>
      <c r="D21" s="6" t="inlineStr">
        <is>
          <t>Plan-B action</t>
        </is>
      </c>
      <c r="E21" s="6" t="inlineStr">
        <is>
          <t>Alt VND</t>
        </is>
      </c>
      <c r="F21" s="6" t="inlineStr">
        <is>
          <t>Channel</t>
        </is>
      </c>
      <c r="G21" s="78" t="n"/>
      <c r="H21" s="78" t="n"/>
      <c r="I21" s="79" t="n"/>
    </row>
    <row r="22" ht="50" customHeight="1">
      <c r="A22" s="61" t="inlineStr">
        <is>
          <t>v1 Ba Na Hills</t>
        </is>
      </c>
      <c r="B22" s="7" t="inlineStr">
        <is>
          <t>Cable car + Golden Bridge outdoor</t>
        </is>
      </c>
      <c r="C22" s="55" t="inlineStr">
        <is>
          <t>Mod rain</t>
        </is>
      </c>
      <c r="D22" s="7" t="inlineStr">
        <is>
          <t>Cable car runs in rain but Golden Bridge views = ZERO. Push start to 06:00 hoping for clearer morning. If go: focus indoor (Fantasy Park, Wax Museum, Debay Wine Cellar, French Village restaurants). Klook FLEX — cancel 24hr ahead if forecast worsens.</t>
        </is>
      </c>
      <c r="E22" s="54" t="n"/>
      <c r="F22" s="81" t="n">
        <v>1200000</v>
      </c>
      <c r="G22" s="54" t="n"/>
      <c r="H22" s="7" t="inlineStr">
        <is>
          <t>Same bundle, partial value</t>
        </is>
      </c>
      <c r="I22" s="54" t="n"/>
    </row>
    <row r="23" ht="50" customHeight="1">
      <c r="A23" s="65" t="inlineStr">
        <is>
          <t>v1 Ba Na ALT</t>
        </is>
      </c>
      <c r="B23" s="3" t="inlineStr">
        <is>
          <t>Cable car may close</t>
        </is>
      </c>
      <c r="C23" s="58" t="inlineStr">
        <is>
          <t>Storm / lightning</t>
        </is>
      </c>
      <c r="D23" s="3" t="inlineStr">
        <is>
          <t>SUBSTITUTE Mikazuki Japanese Resort 365 — indoor onsen + waterpark. Day pass ~550k pp. ~25 min Grab.</t>
        </is>
      </c>
      <c r="E23" s="57" t="n"/>
      <c r="F23" s="82" t="n">
        <v>550000</v>
      </c>
      <c r="G23" s="57" t="n"/>
      <c r="H23" s="3" t="inlineStr">
        <is>
          <t>Direct ticket</t>
        </is>
      </c>
      <c r="I23" s="57" t="n"/>
    </row>
    <row r="24" ht="50" customHeight="1">
      <c r="A24" s="61" t="inlineStr">
        <is>
          <t>v1 Ba Na ALT 2</t>
        </is>
      </c>
      <c r="B24" s="7" t="inlineStr">
        <is>
          <t>—</t>
        </is>
      </c>
      <c r="C24" s="55" t="inlineStr">
        <is>
          <t>Heavy rain</t>
        </is>
      </c>
      <c r="D24" s="7" t="inlineStr">
        <is>
          <t>SUBSTITUTE Da Nang Museum of Cham Sculpture (Sheet 13: 60k) + Cham Museum lunch + Pizza 4Ps + spa session + Lotte Cinema Vincom Plaza. Build slow indoor day.</t>
        </is>
      </c>
      <c r="E24" s="54" t="n"/>
      <c r="F24" s="81" t="n">
        <v>400000</v>
      </c>
      <c r="G24" s="54" t="n"/>
      <c r="H24" s="7" t="inlineStr">
        <is>
          <t>Mix</t>
        </is>
      </c>
      <c r="I24" s="54" t="n"/>
    </row>
    <row r="25" ht="50" customHeight="1">
      <c r="A25" s="65" t="inlineStr">
        <is>
          <t>v2 Hai Van Pass</t>
        </is>
      </c>
      <c r="B25" s="3" t="inlineStr">
        <is>
          <t>Coastal mountain road</t>
        </is>
      </c>
      <c r="C25" s="58" t="inlineStr">
        <is>
          <t>Mod rain</t>
        </is>
      </c>
      <c r="D25" s="3" t="inlineStr">
        <is>
          <t>DOABLE but views muted; tunnel route preferred over scenic pass (safer). Driver decides; tell driver "an toàn / safety first". Lăng Cô lunch indoors works.</t>
        </is>
      </c>
      <c r="E25" s="57" t="n"/>
      <c r="F25" s="82" t="n">
        <v>800000</v>
      </c>
      <c r="G25" s="57" t="n"/>
      <c r="H25" s="3" t="inlineStr">
        <is>
          <t>Klook group / private</t>
        </is>
      </c>
      <c r="I25" s="57" t="n"/>
    </row>
    <row r="26" ht="50" customHeight="1">
      <c r="A26" s="61" t="inlineStr">
        <is>
          <t>v2 Hai Van ALT</t>
        </is>
      </c>
      <c r="B26" s="7" t="inlineStr">
        <is>
          <t>Pass dangerous</t>
        </is>
      </c>
      <c r="C26" s="55" t="inlineStr">
        <is>
          <t>Storm / landslide warning</t>
        </is>
      </c>
      <c r="D26" s="7" t="inlineStr">
        <is>
          <t>CANCEL Hai Van — Klook refunds if 24hr advance. SUBSTITUTE: Mỹ Sơn Sanctuary sheltered ruins (450k Klook shared) OR Cooking Class Hoi An (1.3M Klook) OR Spa marathon (1.3M Babylon Royal).</t>
        </is>
      </c>
      <c r="E26" s="54" t="n"/>
      <c r="F26" s="81" t="n">
        <v>450000</v>
      </c>
      <c r="G26" s="54" t="n"/>
      <c r="H26" s="7" t="inlineStr">
        <is>
          <t>Klook Mỹ Sơn shared</t>
        </is>
      </c>
      <c r="I26" s="54" t="n"/>
    </row>
    <row r="27" ht="50" customHeight="1">
      <c r="A27" s="65" t="inlineStr">
        <is>
          <t>Pub Crawl</t>
        </is>
      </c>
      <c r="B27" s="3" t="inlineStr">
        <is>
          <t>Outdoor walking between bars</t>
        </is>
      </c>
      <c r="C27" s="58" t="inlineStr">
        <is>
          <t>Any rain</t>
        </is>
      </c>
      <c r="D27" s="3" t="inlineStr">
        <is>
          <t>Operator usually still runs (covered van transport). Confirm via FB DM. Personal call — drier feet at hotel rooftop bar instead.</t>
        </is>
      </c>
      <c r="E27" s="57" t="n"/>
      <c r="F27" s="82" t="n">
        <v>300000</v>
      </c>
      <c r="G27" s="57" t="n"/>
      <c r="H27" s="3" t="inlineStr">
        <is>
          <t>—</t>
        </is>
      </c>
      <c r="I27" s="57" t="n"/>
    </row>
    <row r="29" ht="20" customHeight="1">
      <c r="A29" s="80" t="inlineStr">
        <is>
          <t>Day 3 — Sun 16 Aug</t>
        </is>
      </c>
    </row>
    <row r="30">
      <c r="A30" s="6" t="inlineStr">
        <is>
          <t>Original item</t>
        </is>
      </c>
      <c r="B30" s="6" t="inlineStr">
        <is>
          <t>Why at risk</t>
        </is>
      </c>
      <c r="C30" s="6" t="inlineStr">
        <is>
          <t>Trigger</t>
        </is>
      </c>
      <c r="D30" s="6" t="inlineStr">
        <is>
          <t>Plan-B action</t>
        </is>
      </c>
      <c r="E30" s="6" t="inlineStr">
        <is>
          <t>Alt VND</t>
        </is>
      </c>
      <c r="F30" s="6" t="inlineStr">
        <is>
          <t>Channel</t>
        </is>
      </c>
      <c r="G30" s="78" t="n"/>
      <c r="H30" s="78" t="n"/>
      <c r="I30" s="79" t="n"/>
    </row>
    <row r="31" ht="50" customHeight="1">
      <c r="A31" s="61" t="inlineStr">
        <is>
          <t>Marble Mountains (v1)</t>
        </is>
      </c>
      <c r="B31" s="7" t="inlineStr">
        <is>
          <t>Limestone caves slippery</t>
        </is>
      </c>
      <c r="C31" s="55" t="inlineStr">
        <is>
          <t>Any rain</t>
        </is>
      </c>
      <c r="D31" s="7" t="inlineStr">
        <is>
          <t>⚠️ DANGEROUS wet. SKIP entirely OR ride elevator + visit only the largest top platform (Thuy Son main pagoda area). Dont enter Am Phủ Cave in rain.</t>
        </is>
      </c>
      <c r="E31" s="54" t="n"/>
      <c r="F31" s="81" t="n">
        <v>55000</v>
      </c>
      <c r="G31" s="54" t="n"/>
      <c r="H31" s="7" t="inlineStr">
        <is>
          <t>Skip safest</t>
        </is>
      </c>
      <c r="I31" s="54" t="n"/>
    </row>
    <row r="32" ht="50" customHeight="1">
      <c r="A32" s="65" t="inlineStr">
        <is>
          <t>Hoi An Old Town</t>
        </is>
      </c>
      <c r="B32" s="3" t="inlineStr">
        <is>
          <t>Riverside floods</t>
        </is>
      </c>
      <c r="C32" s="58" t="inlineStr">
        <is>
          <t>Heavy rain</t>
        </is>
      </c>
      <c r="D32" s="3" t="inlineStr">
        <is>
          <t>Old Town floods in 50mm+ rainfall (typical 1–2× per Aug). If forecast &gt;40mm, SKIP to Day 4 or stay DN. Klook FLEX hotel? Not applicable but plan flex.</t>
        </is>
      </c>
      <c r="E32" s="57" t="n"/>
      <c r="F32" s="82" t="n">
        <v>120000</v>
      </c>
      <c r="G32" s="57" t="n"/>
      <c r="H32" s="3" t="inlineStr">
        <is>
          <t>Old Town pass</t>
        </is>
      </c>
      <c r="I32" s="57" t="n"/>
    </row>
    <row r="33" ht="50" customHeight="1">
      <c r="A33" s="61" t="inlineStr">
        <is>
          <t>Hoi An rainy-day swap</t>
        </is>
      </c>
      <c r="B33" s="7" t="inlineStr">
        <is>
          <t>—</t>
        </is>
      </c>
      <c r="C33" s="55" t="inlineStr">
        <is>
          <t>Light–Mod rain</t>
        </is>
      </c>
      <c r="D33" s="7" t="inlineStr">
        <is>
          <t>INDOOR HOI AN: Réhahn Precious Heritage Photo Museum (60k), Reaching Out Tea House (silent tea service, employs deaf hosts; 80–120k), Hoi An Silk Village tour (150k), Hoi An Lantern-Making Workshop ★★ (~350k pp 2hr — TAKE LANTERN HOME), Tra Que Herb Village cooking class indoor kitchen (~600k pp).</t>
        </is>
      </c>
      <c r="E33" s="54" t="n"/>
      <c r="F33" s="81" t="n">
        <v>350000</v>
      </c>
      <c r="G33" s="54" t="n"/>
      <c r="H33" s="7" t="inlineStr">
        <is>
          <t>★ Lantern workshop</t>
        </is>
      </c>
      <c r="I33" s="54" t="n"/>
    </row>
    <row r="34" ht="50" customHeight="1">
      <c r="A34" s="65" t="inlineStr">
        <is>
          <t>Lantern boat (v1/v2)</t>
        </is>
      </c>
      <c r="B34" s="3" t="inlineStr">
        <is>
          <t>River boat</t>
        </is>
      </c>
      <c r="C34" s="58" t="inlineStr">
        <is>
          <t>Mod–Heavy rain</t>
        </is>
      </c>
      <c r="D34" s="3" t="inlineStr">
        <is>
          <t>Boats cancelled when river rough. Watch lanterns from covered bridges + riverside cafés instead.</t>
        </is>
      </c>
      <c r="E34" s="57" t="n"/>
      <c r="F34" s="82" t="n"/>
      <c r="G34" s="57" t="n"/>
      <c r="H34" s="3" t="inlineStr">
        <is>
          <t>Save 100k</t>
        </is>
      </c>
      <c r="I34" s="57" t="n"/>
    </row>
    <row r="35" ht="50" customHeight="1">
      <c r="A35" s="61" t="inlineStr">
        <is>
          <t>An Bàng Beach (v2)</t>
        </is>
      </c>
      <c r="B35" s="7" t="inlineStr">
        <is>
          <t>Beach</t>
        </is>
      </c>
      <c r="C35" s="55" t="inlineStr">
        <is>
          <t>Any rain</t>
        </is>
      </c>
      <c r="D35" s="7" t="inlineStr">
        <is>
          <t>SKIP. Substitute: 43 Factory long café session + slow lunch at Pizza 4Ps + indoor café-hop (Mê Cà Phê, Cocobox).</t>
        </is>
      </c>
      <c r="E35" s="54" t="n"/>
      <c r="F35" s="81" t="n">
        <v>250000</v>
      </c>
      <c r="G35" s="54" t="n"/>
      <c r="H35" s="7" t="inlineStr">
        <is>
          <t>Café-hop</t>
        </is>
      </c>
      <c r="I35" s="54" t="n"/>
    </row>
    <row r="37" ht="20" customHeight="1">
      <c r="A37" s="80" t="inlineStr">
        <is>
          <t>Day 4 — Mon 17 Aug</t>
        </is>
      </c>
    </row>
    <row r="38">
      <c r="A38" s="6" t="inlineStr">
        <is>
          <t>Original item</t>
        </is>
      </c>
      <c r="B38" s="6" t="inlineStr">
        <is>
          <t>Why at risk</t>
        </is>
      </c>
      <c r="C38" s="6" t="inlineStr">
        <is>
          <t>Trigger</t>
        </is>
      </c>
      <c r="D38" s="6" t="inlineStr">
        <is>
          <t>Plan-B action</t>
        </is>
      </c>
      <c r="E38" s="6" t="inlineStr">
        <is>
          <t>Alt VND</t>
        </is>
      </c>
      <c r="F38" s="6" t="inlineStr">
        <is>
          <t>Channel</t>
        </is>
      </c>
      <c r="G38" s="78" t="n"/>
      <c r="H38" s="78" t="n"/>
      <c r="I38" s="79" t="n"/>
    </row>
    <row r="39" ht="50" customHeight="1">
      <c r="A39" s="61" t="inlineStr">
        <is>
          <t>Son Tra sunrise (v2)</t>
        </is>
      </c>
      <c r="B39" s="7" t="inlineStr">
        <is>
          <t>Mountain winding road</t>
        </is>
      </c>
      <c r="C39" s="55" t="inlineStr">
        <is>
          <t>Any wet</t>
        </is>
      </c>
      <c r="D39" s="7" t="inlineStr">
        <is>
          <t>⚠️ Coastal road slippery + monkey-induced surprise. SKIP if road wet at 05:00. Substitute sunrise: Đông Hải fishing wharf 05:30 (city flat road safe) for boats unloading; or My Khe beach pier sunrise.</t>
        </is>
      </c>
      <c r="E39" s="54" t="n"/>
      <c r="F39" s="81" t="n">
        <v>100000</v>
      </c>
      <c r="G39" s="54" t="n"/>
      <c r="H39" s="7" t="inlineStr">
        <is>
          <t>Grab to wharf</t>
        </is>
      </c>
      <c r="I39" s="54" t="n"/>
    </row>
    <row r="40" ht="50" customHeight="1">
      <c r="A40" s="65" t="inlineStr">
        <is>
          <t>Marble (v2 swap day)</t>
        </is>
      </c>
      <c r="B40" s="3" t="inlineStr">
        <is>
          <t>Limestone slippery</t>
        </is>
      </c>
      <c r="C40" s="58" t="inlineStr">
        <is>
          <t>Wet</t>
        </is>
      </c>
      <c r="D40" s="3" t="inlineStr">
        <is>
          <t>Same as Day-3 Marble bullet — skip or main-platform only.</t>
        </is>
      </c>
      <c r="E40" s="57" t="n"/>
      <c r="F40" s="82" t="n">
        <v>55000</v>
      </c>
      <c r="G40" s="57" t="n"/>
      <c r="H40" s="3" t="inlineStr">
        <is>
          <t>Skip or shorten</t>
        </is>
      </c>
      <c r="I40" s="57" t="n"/>
    </row>
    <row r="41" ht="50" customHeight="1">
      <c r="A41" s="61" t="inlineStr">
        <is>
          <t>Spa 150-min</t>
        </is>
      </c>
      <c r="B41" s="7" t="inlineStr">
        <is>
          <t>Indoor</t>
        </is>
      </c>
      <c r="C41" s="55" t="inlineStr">
        <is>
          <t>Any</t>
        </is>
      </c>
      <c r="D41" s="7" t="inlineStr">
        <is>
          <t>ALREADY INDOOR ✅ — keep. Consider extending to 180-min "VIP" package +200k.</t>
        </is>
      </c>
      <c r="E41" s="54" t="n"/>
      <c r="F41" s="81" t="n">
        <v>1500000</v>
      </c>
      <c r="G41" s="54" t="n"/>
      <c r="H41" s="7" t="inlineStr">
        <is>
          <t>+200k upgrade</t>
        </is>
      </c>
      <c r="I41" s="54" t="n"/>
    </row>
    <row r="42" ht="50" customHeight="1">
      <c r="A42" s="65" t="inlineStr">
        <is>
          <t>Mộc / Bé Mặn seafood dinner</t>
        </is>
      </c>
      <c r="B42" s="3" t="inlineStr">
        <is>
          <t>Open-air strip</t>
        </is>
      </c>
      <c r="C42" s="58" t="inlineStr">
        <is>
          <t>Heavy rain</t>
        </is>
      </c>
      <c r="D42" s="3" t="inlineStr">
        <is>
          <t>Both have indoor sections but ambience drops. Alt: Madam Lân (colonial villa, indoor) or Pizza 4Ps indoor dining.</t>
        </is>
      </c>
      <c r="E42" s="57" t="n"/>
      <c r="F42" s="82" t="n">
        <v>600000</v>
      </c>
      <c r="G42" s="57" t="n"/>
      <c r="H42" s="3" t="inlineStr">
        <is>
          <t>Indoor alt</t>
        </is>
      </c>
      <c r="I42" s="57" t="n"/>
    </row>
    <row r="43" ht="50" customHeight="1">
      <c r="A43" s="61" t="inlineStr">
        <is>
          <t>Han Market shopping</t>
        </is>
      </c>
      <c r="B43" s="7" t="inlineStr">
        <is>
          <t>Indoor market</t>
        </is>
      </c>
      <c r="C43" s="55" t="inlineStr">
        <is>
          <t>Any</t>
        </is>
      </c>
      <c r="D43" s="7" t="inlineStr">
        <is>
          <t>ALREADY INDOOR ✅. Bonus: Con Market (Chợ Cồn) bigger + more local; Vincom Plaza modern mall option.</t>
        </is>
      </c>
      <c r="E43" s="54" t="n"/>
      <c r="F43" s="81" t="n"/>
      <c r="G43" s="54" t="n"/>
      <c r="H43" s="7" t="inlineStr">
        <is>
          <t>—</t>
        </is>
      </c>
      <c r="I43" s="54" t="n"/>
    </row>
    <row r="45" ht="20" customHeight="1">
      <c r="A45" s="80" t="inlineStr">
        <is>
          <t>Day 5 — Tue 18 Aug</t>
        </is>
      </c>
    </row>
    <row r="46">
      <c r="A46" s="6" t="inlineStr">
        <is>
          <t>Original item</t>
        </is>
      </c>
      <c r="B46" s="6" t="inlineStr">
        <is>
          <t>Why at risk</t>
        </is>
      </c>
      <c r="C46" s="6" t="inlineStr">
        <is>
          <t>Trigger</t>
        </is>
      </c>
      <c r="D46" s="6" t="inlineStr">
        <is>
          <t>Plan-B action</t>
        </is>
      </c>
      <c r="E46" s="6" t="inlineStr">
        <is>
          <t>Alt VND</t>
        </is>
      </c>
      <c r="F46" s="6" t="inlineStr">
        <is>
          <t>Channel</t>
        </is>
      </c>
      <c r="G46" s="78" t="n"/>
      <c r="H46" s="78" t="n"/>
      <c r="I46" s="79" t="n"/>
    </row>
    <row r="47" ht="50" customHeight="1">
      <c r="A47" s="61" t="inlineStr">
        <is>
          <t>Café + Pho + Cham Museum</t>
        </is>
      </c>
      <c r="B47" s="7" t="inlineStr">
        <is>
          <t>Mostly indoor</t>
        </is>
      </c>
      <c r="C47" s="55" t="inlineStr">
        <is>
          <t>Any</t>
        </is>
      </c>
      <c r="D47" s="7" t="inlineStr">
        <is>
          <t>✅ Already storm-friendly. Add: Da Nang Fine Arts Museum (free, indoor) if extra time.</t>
        </is>
      </c>
      <c r="E47" s="54" t="n"/>
      <c r="F47" s="81" t="n">
        <v>60000</v>
      </c>
      <c r="G47" s="54" t="n"/>
      <c r="H47" s="7" t="inlineStr">
        <is>
          <t>Cham Museum stays</t>
        </is>
      </c>
      <c r="I47" s="54" t="n"/>
    </row>
    <row r="48" ht="50" customHeight="1">
      <c r="A48" s="65" t="inlineStr">
        <is>
          <t>Flight delay risk</t>
        </is>
      </c>
      <c r="B48" s="3" t="inlineStr">
        <is>
          <t>Scoot DAD→SIN</t>
        </is>
      </c>
      <c r="C48" s="58" t="inlineStr">
        <is>
          <t>Typhoon</t>
        </is>
      </c>
      <c r="D48" s="3" t="inlineStr">
        <is>
          <t>Scoot rebooks free during published typhoon warnings. Check Scoot Travel Advisories page T-24hr. Insurance covers &gt;6hr delay expenses.</t>
        </is>
      </c>
      <c r="E48" s="57" t="n"/>
      <c r="F48" s="82" t="n"/>
      <c r="G48" s="57" t="n"/>
      <c r="H48" s="3" t="inlineStr">
        <is>
          <t>Insurance file</t>
        </is>
      </c>
      <c r="I48" s="57" t="n"/>
    </row>
    <row r="49" ht="50" customHeight="1">
      <c r="A49" s="61" t="inlineStr">
        <is>
          <t>Airport buffer</t>
        </is>
      </c>
      <c r="B49" s="7" t="inlineStr">
        <is>
          <t>Hotel → DAD</t>
        </is>
      </c>
      <c r="C49" s="55" t="inlineStr">
        <is>
          <t>Heavy rain</t>
        </is>
      </c>
      <c r="D49" s="7" t="inlineStr">
        <is>
          <t>Push departure earlier — leave Hotel 14:00 (4hr buffer) if storm; flooded DN streets slow Grab. Bring book/Kindle.</t>
        </is>
      </c>
      <c r="E49" s="54" t="n"/>
      <c r="F49" s="81" t="n">
        <v>200000</v>
      </c>
      <c r="G49" s="54" t="n"/>
      <c r="H49" s="7" t="inlineStr">
        <is>
          <t>Earlier Grab</t>
        </is>
      </c>
      <c r="I49" s="54" t="n"/>
    </row>
    <row r="51" ht="22" customHeight="1">
      <c r="A51" s="77" t="inlineStr">
        <is>
          <t>🏠 Indoor Activity Bank (Da Nang + Hoi An)</t>
        </is>
      </c>
    </row>
    <row r="52">
      <c r="A52" s="6" t="inlineStr">
        <is>
          <t>Activity</t>
        </is>
      </c>
      <c r="B52" s="6" t="inlineStr">
        <is>
          <t>Area</t>
        </is>
      </c>
      <c r="C52" s="6" t="inlineStr">
        <is>
          <t>VND</t>
        </is>
      </c>
      <c r="D52" s="6" t="inlineStr">
        <is>
          <t>Duration</t>
        </is>
      </c>
      <c r="E52" s="6" t="inlineStr">
        <is>
          <t>Notes</t>
        </is>
      </c>
      <c r="F52" s="78" t="n"/>
      <c r="G52" s="78" t="n"/>
      <c r="H52" s="78" t="n"/>
      <c r="I52" s="79" t="n"/>
    </row>
    <row r="53" ht="30" customHeight="1">
      <c r="A53" s="61" t="inlineStr">
        <is>
          <t>Cham Museum of Sculpture</t>
        </is>
      </c>
      <c r="B53" s="54" t="inlineStr">
        <is>
          <t>Da Nang city</t>
        </is>
      </c>
      <c r="C53" s="83" t="n">
        <v>60000</v>
      </c>
      <c r="D53" s="55" t="inlineStr">
        <is>
          <t>~1hr</t>
        </is>
      </c>
      <c r="E53" s="7" t="inlineStr">
        <is>
          <t>Worlds top Champa stone collection; AC, rarely crowded</t>
        </is>
      </c>
      <c r="F53" s="54" t="n"/>
      <c r="G53" s="54" t="n"/>
      <c r="H53" s="54" t="n"/>
      <c r="I53" s="54" t="n"/>
    </row>
    <row r="54" ht="30" customHeight="1">
      <c r="A54" s="65" t="inlineStr">
        <is>
          <t>Da Nang Museum</t>
        </is>
      </c>
      <c r="B54" s="57" t="inlineStr">
        <is>
          <t>Han River</t>
        </is>
      </c>
      <c r="C54" s="84" t="n">
        <v>20000</v>
      </c>
      <c r="D54" s="58" t="inlineStr">
        <is>
          <t>~1hr</t>
        </is>
      </c>
      <c r="E54" s="3" t="inlineStr">
        <is>
          <t>City history + Vietnam War exhibits; AC</t>
        </is>
      </c>
      <c r="F54" s="57" t="n"/>
      <c r="G54" s="57" t="n"/>
      <c r="H54" s="57" t="n"/>
      <c r="I54" s="57" t="n"/>
    </row>
    <row r="55" ht="30" customHeight="1">
      <c r="A55" s="61" t="inlineStr">
        <is>
          <t>Da Nang Fine Arts Museum</t>
        </is>
      </c>
      <c r="B55" s="54" t="inlineStr">
        <is>
          <t>Le Duan</t>
        </is>
      </c>
      <c r="C55" s="83" t="n"/>
      <c r="D55" s="55" t="inlineStr">
        <is>
          <t>~1hr</t>
        </is>
      </c>
      <c r="E55" s="7" t="inlineStr">
        <is>
          <t>Free; contemporary VN art</t>
        </is>
      </c>
      <c r="F55" s="54" t="n"/>
      <c r="G55" s="54" t="n"/>
      <c r="H55" s="54" t="n"/>
      <c r="I55" s="54" t="n"/>
    </row>
    <row r="56" ht="30" customHeight="1">
      <c r="A56" s="65" t="inlineStr">
        <is>
          <t>Mikazuki Japanese Resort 365</t>
        </is>
      </c>
      <c r="B56" s="57" t="inlineStr">
        <is>
          <t>Xuan Thieu Beach (14km N)</t>
        </is>
      </c>
      <c r="C56" s="84" t="n">
        <v>550000</v>
      </c>
      <c r="D56" s="58" t="inlineStr">
        <is>
          <t>½-day</t>
        </is>
      </c>
      <c r="E56" s="3" t="inlineStr">
        <is>
          <t>INDOOR onsen + waterpark — best full-day rain refuge</t>
        </is>
      </c>
      <c r="F56" s="57" t="n"/>
      <c r="G56" s="57" t="n"/>
      <c r="H56" s="57" t="n"/>
      <c r="I56" s="57" t="n"/>
    </row>
    <row r="57" ht="30" customHeight="1">
      <c r="A57" s="61" t="inlineStr">
        <is>
          <t>Lotte Cinema Vincom Plaza</t>
        </is>
      </c>
      <c r="B57" s="54" t="inlineStr">
        <is>
          <t>Da Nang city</t>
        </is>
      </c>
      <c r="C57" s="83" t="n">
        <v>110000</v>
      </c>
      <c r="D57" s="55" t="inlineStr">
        <is>
          <t>2hr</t>
        </is>
      </c>
      <c r="E57" s="7" t="inlineStr">
        <is>
          <t>English subs on most VN films, Hollywood releases</t>
        </is>
      </c>
      <c r="F57" s="54" t="n"/>
      <c r="G57" s="54" t="n"/>
      <c r="H57" s="54" t="n"/>
      <c r="I57" s="54" t="n"/>
    </row>
    <row r="58" ht="30" customHeight="1">
      <c r="A58" s="65" t="inlineStr">
        <is>
          <t>Vincom Plaza shopping</t>
        </is>
      </c>
      <c r="B58" s="57" t="inlineStr">
        <is>
          <t>Da Nang city</t>
        </is>
      </c>
      <c r="C58" s="84" t="n"/>
      <c r="D58" s="58" t="inlineStr">
        <is>
          <t>2–4hr</t>
        </is>
      </c>
      <c r="E58" s="3" t="inlineStr">
        <is>
          <t>Mall: shops + food court + Lotte Mart supermarket</t>
        </is>
      </c>
      <c r="F58" s="57" t="n"/>
      <c r="G58" s="57" t="n"/>
      <c r="H58" s="57" t="n"/>
      <c r="I58" s="57" t="n"/>
    </row>
    <row r="59" ht="30" customHeight="1">
      <c r="A59" s="61" t="inlineStr">
        <is>
          <t>Hoi An Lantern-Making Workshop</t>
        </is>
      </c>
      <c r="B59" s="54" t="inlineStr">
        <is>
          <t>Hoi An Old Town</t>
        </is>
      </c>
      <c r="C59" s="83" t="n">
        <v>350000</v>
      </c>
      <c r="D59" s="55" t="inlineStr">
        <is>
          <t>2hr</t>
        </is>
      </c>
      <c r="E59" s="7" t="inlineStr">
        <is>
          <t>★ Take home your lantern; multiple operators</t>
        </is>
      </c>
      <c r="F59" s="54" t="n"/>
      <c r="G59" s="54" t="n"/>
      <c r="H59" s="54" t="n"/>
      <c r="I59" s="54" t="n"/>
    </row>
    <row r="60" ht="30" customHeight="1">
      <c r="A60" s="65" t="inlineStr">
        <is>
          <t>Tra Que Herb Village cooking class</t>
        </is>
      </c>
      <c r="B60" s="57" t="inlineStr">
        <is>
          <t>Hoi An outskirts</t>
        </is>
      </c>
      <c r="C60" s="84" t="n">
        <v>600000</v>
      </c>
      <c r="D60" s="58" t="inlineStr">
        <is>
          <t>4hr</t>
        </is>
      </c>
      <c r="E60" s="3" t="inlineStr">
        <is>
          <t>Pickup + market + indoor kitchen + meal</t>
        </is>
      </c>
      <c r="F60" s="57" t="n"/>
      <c r="G60" s="57" t="n"/>
      <c r="H60" s="57" t="n"/>
      <c r="I60" s="57" t="n"/>
    </row>
    <row r="61" ht="30" customHeight="1">
      <c r="A61" s="61" t="inlineStr">
        <is>
          <t>Red Bridge Cooking School</t>
        </is>
      </c>
      <c r="B61" s="54" t="inlineStr">
        <is>
          <t>Hoi An / DN pickup</t>
        </is>
      </c>
      <c r="C61" s="83" t="n">
        <v>1300000</v>
      </c>
      <c r="D61" s="55" t="inlineStr">
        <is>
          <t>full-day</t>
        </is>
      </c>
      <c r="E61" s="7" t="inlineStr">
        <is>
          <t>Klook ~1.3M; market + boat ride + cook + eat</t>
        </is>
      </c>
      <c r="F61" s="54" t="n"/>
      <c r="G61" s="54" t="n"/>
      <c r="H61" s="54" t="n"/>
      <c r="I61" s="54" t="n"/>
    </row>
    <row r="62" ht="30" customHeight="1">
      <c r="A62" s="65" t="inlineStr">
        <is>
          <t>Réhahn Precious Heritage Photo Museum</t>
        </is>
      </c>
      <c r="B62" s="57" t="inlineStr">
        <is>
          <t>Hoi An</t>
        </is>
      </c>
      <c r="C62" s="84" t="n">
        <v>60000</v>
      </c>
      <c r="D62" s="58" t="inlineStr">
        <is>
          <t>1hr</t>
        </is>
      </c>
      <c r="E62" s="3" t="inlineStr">
        <is>
          <t>Ethnographic photo gallery — silent, AC</t>
        </is>
      </c>
      <c r="F62" s="57" t="n"/>
      <c r="G62" s="57" t="n"/>
      <c r="H62" s="57" t="n"/>
      <c r="I62" s="57" t="n"/>
    </row>
    <row r="63" ht="30" customHeight="1">
      <c r="A63" s="61" t="inlineStr">
        <is>
          <t>Reaching Out Tea House</t>
        </is>
      </c>
      <c r="B63" s="54" t="inlineStr">
        <is>
          <t>Hoi An Old Town</t>
        </is>
      </c>
      <c r="C63" s="83" t="n">
        <v>100000</v>
      </c>
      <c r="D63" s="55" t="inlineStr">
        <is>
          <t>1hr</t>
        </is>
      </c>
      <c r="E63" s="7" t="inlineStr">
        <is>
          <t>Silent tea service by deaf hosts — calming</t>
        </is>
      </c>
      <c r="F63" s="54" t="n"/>
      <c r="G63" s="54" t="n"/>
      <c r="H63" s="54" t="n"/>
      <c r="I63" s="54" t="n"/>
    </row>
    <row r="64" ht="30" customHeight="1">
      <c r="A64" s="65" t="inlineStr">
        <is>
          <t>Hoi An Silk Village</t>
        </is>
      </c>
      <c r="B64" s="57" t="inlineStr">
        <is>
          <t>Hoi An</t>
        </is>
      </c>
      <c r="C64" s="84" t="n">
        <v>150000</v>
      </c>
      <c r="D64" s="58" t="inlineStr">
        <is>
          <t>1.5hr</t>
        </is>
      </c>
      <c r="E64" s="3" t="inlineStr">
        <is>
          <t>Silkworm-to-fabric process tour</t>
        </is>
      </c>
      <c r="F64" s="57" t="n"/>
      <c r="G64" s="57" t="n"/>
      <c r="H64" s="57" t="n"/>
      <c r="I64" s="57" t="n"/>
    </row>
    <row r="65" ht="30" customHeight="1">
      <c r="A65" s="61" t="inlineStr">
        <is>
          <t>Spa marathon — 2 sessions</t>
        </is>
      </c>
      <c r="B65" s="54" t="inlineStr">
        <is>
          <t>My Khe</t>
        </is>
      </c>
      <c r="C65" s="83" t="n">
        <v>1800000</v>
      </c>
      <c r="D65" s="55" t="inlineStr">
        <is>
          <t>4hr</t>
        </is>
      </c>
      <c r="E65" s="7" t="inlineStr">
        <is>
          <t>Combine 90-min hot stone + 60-min foot reflexology different spas</t>
        </is>
      </c>
      <c r="F65" s="54" t="n"/>
      <c r="G65" s="54" t="n"/>
      <c r="H65" s="54" t="n"/>
      <c r="I65" s="54" t="n"/>
    </row>
    <row r="66" ht="30" customHeight="1">
      <c r="A66" s="65" t="inlineStr">
        <is>
          <t>Sky36 rooftop bar</t>
        </is>
      </c>
      <c r="B66" s="57" t="inlineStr">
        <is>
          <t>Han River</t>
        </is>
      </c>
      <c r="C66" s="84" t="n">
        <v>250000</v>
      </c>
      <c r="D66" s="58" t="inlineStr">
        <is>
          <t>2hr</t>
        </is>
      </c>
      <c r="E66" s="3" t="inlineStr">
        <is>
          <t>Covered rooftop; sheltered seating</t>
        </is>
      </c>
      <c r="F66" s="57" t="n"/>
      <c r="G66" s="57" t="n"/>
      <c r="H66" s="57" t="n"/>
      <c r="I66" s="57" t="n"/>
    </row>
    <row r="67" ht="30" customHeight="1">
      <c r="A67" s="61" t="inlineStr">
        <is>
          <t>43 Factory long café session</t>
        </is>
      </c>
      <c r="B67" s="54" t="inlineStr">
        <is>
          <t>An Thuong</t>
        </is>
      </c>
      <c r="C67" s="83" t="n">
        <v>90000</v>
      </c>
      <c r="D67" s="55" t="inlineStr">
        <is>
          <t>2hr+</t>
        </is>
      </c>
      <c r="E67" s="7" t="inlineStr">
        <is>
          <t>Specialty coffee, design-led, free wifi</t>
        </is>
      </c>
      <c r="F67" s="54" t="n"/>
      <c r="G67" s="54" t="n"/>
      <c r="H67" s="54" t="n"/>
      <c r="I67" s="54" t="n"/>
    </row>
    <row r="68" ht="30" customHeight="1">
      <c r="A68" s="65" t="inlineStr">
        <is>
          <t>Pizza 4Ps long lunch</t>
        </is>
      </c>
      <c r="B68" s="57" t="inlineStr">
        <is>
          <t>Bach Dang</t>
        </is>
      </c>
      <c r="C68" s="84" t="n">
        <v>250000</v>
      </c>
      <c r="D68" s="58" t="inlineStr">
        <is>
          <t>1.5hr</t>
        </is>
      </c>
      <c r="E68" s="3" t="inlineStr">
        <is>
          <t>AC, cozy; Vietnamese-Japanese pizza</t>
        </is>
      </c>
      <c r="F68" s="57" t="n"/>
      <c r="G68" s="57" t="n"/>
      <c r="H68" s="57" t="n"/>
      <c r="I68" s="57" t="n"/>
    </row>
    <row r="69" ht="30" customHeight="1">
      <c r="A69" s="61" t="inlineStr">
        <is>
          <t>Han River dinner cruise (covered)</t>
        </is>
      </c>
      <c r="B69" s="54" t="inlineStr">
        <is>
          <t>Han River</t>
        </is>
      </c>
      <c r="C69" s="83" t="n">
        <v>350000</v>
      </c>
      <c r="D69" s="55" t="inlineStr">
        <is>
          <t>2hr</t>
        </is>
      </c>
      <c r="E69" s="7" t="inlineStr">
        <is>
          <t>Lower-deck covered seating; light–mod rain OK</t>
        </is>
      </c>
      <c r="F69" s="54" t="n"/>
      <c r="G69" s="54" t="n"/>
      <c r="H69" s="54" t="n"/>
      <c r="I69" s="54" t="n"/>
    </row>
    <row r="70" ht="30" customHeight="1">
      <c r="A70" s="65" t="inlineStr">
        <is>
          <t>Cao Lầu noodle hand-making</t>
        </is>
      </c>
      <c r="B70" s="57" t="inlineStr">
        <is>
          <t>Hoi An</t>
        </is>
      </c>
      <c r="C70" s="84" t="n">
        <v>400000</v>
      </c>
      <c r="D70" s="58" t="inlineStr">
        <is>
          <t>2hr</t>
        </is>
      </c>
      <c r="E70" s="3" t="inlineStr">
        <is>
          <t>Indoor workshop with master</t>
        </is>
      </c>
      <c r="F70" s="57" t="n"/>
      <c r="G70" s="57" t="n"/>
      <c r="H70" s="57" t="n"/>
      <c r="I70" s="57" t="n"/>
    </row>
    <row r="71" ht="30" customHeight="1">
      <c r="A71" s="61" t="inlineStr">
        <is>
          <t>Mỹ Sơn Sanctuary group</t>
        </is>
      </c>
      <c r="B71" s="54" t="inlineStr">
        <is>
          <t>Quảng Nam</t>
        </is>
      </c>
      <c r="C71" s="83" t="n">
        <v>450000</v>
      </c>
      <c r="D71" s="55" t="inlineStr">
        <is>
          <t>half-day</t>
        </is>
      </c>
      <c r="E71" s="7" t="inlineStr">
        <is>
          <t>Klook shared; ruins partly covered, less rain-sensitive than Hoi An Old Town</t>
        </is>
      </c>
      <c r="F71" s="54" t="n"/>
      <c r="G71" s="54" t="n"/>
      <c r="H71" s="54" t="n"/>
      <c r="I71" s="54" t="n"/>
    </row>
    <row r="73" ht="22" customHeight="1">
      <c r="A73" s="77" t="inlineStr">
        <is>
          <t>💡 Booking Flexibility — Storm-Proof Your Itinerary</t>
        </is>
      </c>
    </row>
    <row r="74" ht="36" customHeight="1">
      <c r="A74" s="61" t="inlineStr">
        <is>
          <t>Klook bookings</t>
        </is>
      </c>
      <c r="B74" s="7" t="inlineStr">
        <is>
          <t>Filter for "Free cancellation up to 24hr" — most Ba Na, Hai Van, Mỹ Sơn tours offer it. Decide outdoor activities 2 days ahead based on Windy forecast.</t>
        </is>
      </c>
      <c r="C74" s="85" t="n"/>
      <c r="D74" s="85" t="n"/>
      <c r="E74" s="85" t="n"/>
      <c r="F74" s="85" t="n"/>
      <c r="G74" s="85" t="n"/>
      <c r="H74" s="85" t="n"/>
      <c r="I74" s="85" t="n"/>
    </row>
    <row r="75" ht="36" customHeight="1">
      <c r="A75" s="65" t="inlineStr">
        <is>
          <t>Hotel rate</t>
        </is>
      </c>
      <c r="B75" s="3" t="inlineStr">
        <is>
          <t>Agoda/Booking Free Cancellation rate (~5–10% more than non-refund) lets you extend a day at cost-effective rate if Scoot delays.</t>
        </is>
      </c>
      <c r="C75" s="86" t="n"/>
      <c r="D75" s="86" t="n"/>
      <c r="E75" s="86" t="n"/>
      <c r="F75" s="86" t="n"/>
      <c r="G75" s="86" t="n"/>
      <c r="H75" s="86" t="n"/>
      <c r="I75" s="86" t="n"/>
    </row>
    <row r="76" ht="36" customHeight="1">
      <c r="A76" s="61" t="inlineStr">
        <is>
          <t>Scoot flight</t>
        </is>
      </c>
      <c r="B76" s="7" t="inlineStr">
        <is>
          <t>Scoot waives change fees during officially-declared typhoon advisories on their Travel Advisories page. Monitor T-72hr.</t>
        </is>
      </c>
      <c r="C76" s="85" t="n"/>
      <c r="D76" s="85" t="n"/>
      <c r="E76" s="85" t="n"/>
      <c r="F76" s="85" t="n"/>
      <c r="G76" s="85" t="n"/>
      <c r="H76" s="85" t="n"/>
      <c r="I76" s="85" t="n"/>
    </row>
    <row r="77" ht="36" customHeight="1">
      <c r="A77" s="65" t="inlineStr">
        <is>
          <t>Travel insurance</t>
        </is>
      </c>
      <c r="B77" s="3" t="inlineStr">
        <is>
          <t>AXA / FWD / MAPFRE pays for &gt;6hr delay (meals, hotel, transit). Keep receipts. File claim within 30 days.</t>
        </is>
      </c>
      <c r="C77" s="86" t="n"/>
      <c r="D77" s="86" t="n"/>
      <c r="E77" s="86" t="n"/>
      <c r="F77" s="86" t="n"/>
      <c r="G77" s="86" t="n"/>
      <c r="H77" s="86" t="n"/>
      <c r="I77" s="86" t="n"/>
    </row>
    <row r="78" ht="36" customHeight="1">
      <c r="A78" s="61" t="inlineStr">
        <is>
          <t>Private driver</t>
        </is>
      </c>
      <c r="B78" s="7" t="inlineStr">
        <is>
          <t>Booked driver via hotel concierge or Klook private — they assess road safety and refund/reschedule if Hai Van impassable.</t>
        </is>
      </c>
      <c r="C78" s="85" t="n"/>
      <c r="D78" s="85" t="n"/>
      <c r="E78" s="85" t="n"/>
      <c r="F78" s="85" t="n"/>
      <c r="G78" s="85" t="n"/>
      <c r="H78" s="85" t="n"/>
      <c r="I78" s="85" t="n"/>
    </row>
    <row r="79" ht="36" customHeight="1">
      <c r="A79" s="65" t="inlineStr">
        <is>
          <t>Spa bookings</t>
        </is>
      </c>
      <c r="B79" s="3" t="inlineStr">
        <is>
          <t>WhatsApp; usually flexible to reshuffle same week. No deposit at Herbal/Babylon/Queen.</t>
        </is>
      </c>
      <c r="C79" s="86" t="n"/>
      <c r="D79" s="86" t="n"/>
      <c r="E79" s="86" t="n"/>
      <c r="F79" s="86" t="n"/>
      <c r="G79" s="86" t="n"/>
      <c r="H79" s="86" t="n"/>
      <c r="I79" s="86" t="n"/>
    </row>
    <row r="80" ht="36" customHeight="1">
      <c r="A80" s="61" t="inlineStr">
        <is>
          <t>Pub crawl</t>
        </is>
      </c>
      <c r="B80" s="7" t="inlineStr">
        <is>
          <t>DaNangLeisure.com — DM via FB to confirm run status morning-of. Refund policy varies.</t>
        </is>
      </c>
      <c r="C80" s="85" t="n"/>
      <c r="D80" s="85" t="n"/>
      <c r="E80" s="85" t="n"/>
      <c r="F80" s="85" t="n"/>
      <c r="G80" s="85" t="n"/>
      <c r="H80" s="85" t="n"/>
      <c r="I80" s="85" t="n"/>
    </row>
    <row r="81" ht="36" customHeight="1">
      <c r="A81" s="65" t="inlineStr">
        <is>
          <t>Forecast sources</t>
        </is>
      </c>
      <c r="B81" s="3" t="inlineStr">
        <is>
          <t>Windy.com (radar + multiple models), nchmf.gov.vn (official VN), PAGASA (PH typhoon tracking), Yr.no (Norwegian Met = often best Da Nang accuracy).</t>
        </is>
      </c>
      <c r="C81" s="86" t="n"/>
      <c r="D81" s="86" t="n"/>
      <c r="E81" s="86" t="n"/>
      <c r="F81" s="86" t="n"/>
      <c r="G81" s="86" t="n"/>
      <c r="H81" s="86" t="n"/>
      <c r="I81" s="86" t="n"/>
    </row>
    <row r="82" ht="36" customHeight="1">
      <c r="A82" s="61" t="inlineStr">
        <is>
          <t>Local cue</t>
        </is>
      </c>
      <c r="B82" s="7" t="inlineStr">
        <is>
          <t>If hotel staff says "bão" (typhoon) or "mưa lớn" (heavy rain) — believe them over apps.</t>
        </is>
      </c>
      <c r="C82" s="85" t="n"/>
      <c r="D82" s="85" t="n"/>
      <c r="E82" s="85" t="n"/>
      <c r="F82" s="85" t="n"/>
      <c r="G82" s="85" t="n"/>
      <c r="H82" s="85" t="n"/>
      <c r="I82" s="85" t="n"/>
    </row>
  </sheetData>
  <mergeCells count="117">
    <mergeCell ref="H35:I35"/>
    <mergeCell ref="E68:I68"/>
    <mergeCell ref="F16:G16"/>
    <mergeCell ref="E55:I55"/>
    <mergeCell ref="F25:G25"/>
    <mergeCell ref="E52:I52"/>
    <mergeCell ref="E67:I67"/>
    <mergeCell ref="D22:E22"/>
    <mergeCell ref="D31:E31"/>
    <mergeCell ref="H39:I39"/>
    <mergeCell ref="A2:I2"/>
    <mergeCell ref="D48:E48"/>
    <mergeCell ref="B82:I82"/>
    <mergeCell ref="F23:G23"/>
    <mergeCell ref="F15:I15"/>
    <mergeCell ref="F43:G43"/>
    <mergeCell ref="B74:I74"/>
    <mergeCell ref="D24:E24"/>
    <mergeCell ref="D33:E33"/>
    <mergeCell ref="H23:I23"/>
    <mergeCell ref="B76:I76"/>
    <mergeCell ref="D26:E26"/>
    <mergeCell ref="D35:E35"/>
    <mergeCell ref="E58:I58"/>
    <mergeCell ref="B75:I75"/>
    <mergeCell ref="A37:I37"/>
    <mergeCell ref="D34:E34"/>
    <mergeCell ref="C8:I8"/>
    <mergeCell ref="F34:G34"/>
    <mergeCell ref="H41:I41"/>
    <mergeCell ref="H25:I25"/>
    <mergeCell ref="H34:I34"/>
    <mergeCell ref="F18:G18"/>
    <mergeCell ref="F33:G33"/>
    <mergeCell ref="H49:I49"/>
    <mergeCell ref="F42:G42"/>
    <mergeCell ref="E69:I69"/>
    <mergeCell ref="F17:G17"/>
    <mergeCell ref="H17:I17"/>
    <mergeCell ref="D47:E47"/>
    <mergeCell ref="F47:G47"/>
    <mergeCell ref="E59:I59"/>
    <mergeCell ref="B78:I78"/>
    <mergeCell ref="F30:I30"/>
    <mergeCell ref="F31:G31"/>
    <mergeCell ref="E61:I61"/>
    <mergeCell ref="E70:I70"/>
    <mergeCell ref="D39:E39"/>
    <mergeCell ref="F39:G39"/>
    <mergeCell ref="E57:I57"/>
    <mergeCell ref="F48:G48"/>
    <mergeCell ref="H48:I48"/>
    <mergeCell ref="E54:I54"/>
    <mergeCell ref="D23:E23"/>
    <mergeCell ref="A1:I1"/>
    <mergeCell ref="A45:I45"/>
    <mergeCell ref="F46:I46"/>
    <mergeCell ref="E56:I56"/>
    <mergeCell ref="H43:I43"/>
    <mergeCell ref="C7:I7"/>
    <mergeCell ref="H31:I31"/>
    <mergeCell ref="H40:I40"/>
    <mergeCell ref="B77:I77"/>
    <mergeCell ref="D49:E49"/>
    <mergeCell ref="A14:I14"/>
    <mergeCell ref="D27:E27"/>
    <mergeCell ref="D17:E17"/>
    <mergeCell ref="A4:I4"/>
    <mergeCell ref="E60:I60"/>
    <mergeCell ref="H16:I16"/>
    <mergeCell ref="F22:G22"/>
    <mergeCell ref="C10:I10"/>
    <mergeCell ref="H22:I22"/>
    <mergeCell ref="D25:E25"/>
    <mergeCell ref="C9:I9"/>
    <mergeCell ref="H42:I42"/>
    <mergeCell ref="F49:G49"/>
    <mergeCell ref="B79:I79"/>
    <mergeCell ref="C11:I11"/>
    <mergeCell ref="E62:I62"/>
    <mergeCell ref="B81:I81"/>
    <mergeCell ref="E71:I71"/>
    <mergeCell ref="D40:E40"/>
    <mergeCell ref="F40:G40"/>
    <mergeCell ref="E64:I64"/>
    <mergeCell ref="F24:G24"/>
    <mergeCell ref="E63:I63"/>
    <mergeCell ref="D32:E32"/>
    <mergeCell ref="C6:I6"/>
    <mergeCell ref="F32:G32"/>
    <mergeCell ref="D41:E41"/>
    <mergeCell ref="F26:G26"/>
    <mergeCell ref="F41:G41"/>
    <mergeCell ref="A20:I20"/>
    <mergeCell ref="F35:G35"/>
    <mergeCell ref="A29:I29"/>
    <mergeCell ref="E65:I65"/>
    <mergeCell ref="D16:E16"/>
    <mergeCell ref="H32:I32"/>
    <mergeCell ref="D43:E43"/>
    <mergeCell ref="A13:I13"/>
    <mergeCell ref="F21:I21"/>
    <mergeCell ref="D18:E18"/>
    <mergeCell ref="H47:I47"/>
    <mergeCell ref="F27:G27"/>
    <mergeCell ref="H27:I27"/>
    <mergeCell ref="A73:I73"/>
    <mergeCell ref="A51:I51"/>
    <mergeCell ref="D42:E42"/>
    <mergeCell ref="H24:I24"/>
    <mergeCell ref="H18:I18"/>
    <mergeCell ref="H33:I33"/>
    <mergeCell ref="E66:I66"/>
    <mergeCell ref="F38:I38"/>
    <mergeCell ref="B80:I80"/>
    <mergeCell ref="E53:I53"/>
    <mergeCell ref="H26:I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2026-05-27T13:01:07Z</dcterms:created>
  <dcterms:modified xmlns:dcterms="http://purl.org/dc/terms/" xmlns:xsi="http://www.w3.org/2001/XMLSchema-instance" xsi:type="dcterms:W3CDTF">2026-05-27T13:01:07Z</dcterms:modified>
</cp:coreProperties>
</file>